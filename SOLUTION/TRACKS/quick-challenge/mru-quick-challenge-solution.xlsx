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1ea04f2ce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ution" sheetId="1" r:id="R373c3ac51b714d32"/>
    <x:sheet xmlns:r="http://schemas.openxmlformats.org/officeDocument/2006/relationships" name="Summaries" sheetId="2" r:id="R5dbcc603b6714d3e"/>
    <x:sheet xmlns:r="http://schemas.openxmlformats.org/officeDocument/2006/relationships" name="Clean" sheetId="3" r:id="R073c6ac3bdb24ad7"/>
    <x:sheet xmlns:r="http://schemas.openxmlformats.org/officeDocument/2006/relationships" name="Raw" sheetId="4" r:id="R23e5769d48b6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;[Red](#,##0.00);0.00"/>
    <x:numFmt numFmtId="202" formatCode="mm/dd/yy"/>
    <x:numFmt numFmtId="203" formatCode="&quot;$&quot;#,##0.00;[Red](&quot;$&quot;#,##0.00);&quot;$&quot;0.00"/>
    <x:numFmt numFmtId="204" formatCode="0.0%;[Red](0.0%);0.0%"/>
  </x:numFmts>
  <x:fonts count="9">
    <x:font>
      <x:sz val="11"/>
      <x:name val="Carlito"/>
    </x:font>
    <x:font>
      <x:sz val="11"/>
      <x:color rgb="FF202E3B"/>
      <x:name val="Arial"/>
    </x:font>
    <x:font>
      <x:b/>
      <x:sz val="11"/>
      <x:color rgb="FFFFFFFF"/>
      <x:name val="Arial"/>
    </x:font>
    <x:font>
      <x:b/>
      <x:sz val="16"/>
      <x:color rgb="FF16324F"/>
      <x:name val="Arial"/>
    </x:font>
    <x:font>
      <x:sz val="11"/>
      <x:color rgb="FF596B7B"/>
      <x:name val="Arial"/>
    </x:font>
    <x:font>
      <x:sz val="11"/>
      <x:color rgb="FF2154A0"/>
      <x:name val="Arial"/>
    </x:font>
    <x:font>
      <x:b/>
      <x:sz val="11"/>
      <x:color rgb="FF16324F"/>
      <x:name val="Arial"/>
    </x:font>
    <x:font>
      <x:b/>
      <x:sz val="11"/>
      <x:color rgb="FF202E3B"/>
      <x:name val="Arial"/>
    </x:font>
    <x:font>
      <x:i/>
      <x:sz val="11"/>
      <x:color rgb="FF596B7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1C9"/>
      </x:patternFill>
    </x:fill>
    <x:fill>
      <x:patternFill patternType="solid">
        <x:fgColor rgb="FFEEF3F7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CCD6DF"/>
      </x:top>
      <x:bottom/>
      <x:diagonal/>
    </x:border>
    <x:border>
      <x:left/>
      <x:right/>
      <x:top/>
      <x:bottom style="thin">
        <x:color rgb="FFCCD6DF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3" fontId="1" fillId="3" borderId="0" xfId="0" applyNumberFormat="1" applyFont="1" applyFill="1" applyBorder="1" applyAlignment="1">
      <x:alignment vertical="center" wrapText="0"/>
    </x:xf>
    <x:xf numFmtId="203" fontId="5" fillId="3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2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horizontal="right" vertical="center" wrapText="0"/>
    </x:xf>
    <x:xf numFmtId="201" fontId="5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3" fontId="1" fillId="4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  <x:xf numFmtId="204" fontId="1" fillId="4" borderId="0" xfId="0" applyNumberFormat="1" applyFont="1" applyFill="1" applyBorder="1" applyAlignment="1">
      <x:alignment horizontal="right" vertical="center" wrapText="0"/>
    </x:xf>
    <x:xf numFmtId="0" fontId="7" fillId="4" borderId="0" xfId="0" applyNumberFormat="1" applyFont="1" applyFill="1" applyBorder="1" applyAlignment="1">
      <x:alignment vertical="center" wrapText="0"/>
    </x:xf>
    <x:xf numFmtId="200" fontId="7" fillId="4" borderId="0" xfId="0" applyNumberFormat="1" applyFont="1" applyFill="1" applyBorder="1" applyAlignment="1">
      <x:alignment horizontal="right" vertical="center" wrapText="0"/>
    </x:xf>
    <x:xf numFmtId="203" fontId="7" fillId="4" borderId="0" xfId="0" applyNumberFormat="1" applyFont="1" applyFill="1" applyBorder="1" applyAlignment="1">
      <x:alignment horizontal="right" vertical="center" wrapText="0"/>
    </x:xf>
    <x:xf numFmtId="201" fontId="7" fillId="4" borderId="0" xfId="0" applyNumberFormat="1" applyFont="1" applyFill="1" applyBorder="1" applyAlignment="1">
      <x:alignment horizontal="right" vertical="center" wrapText="0"/>
    </x:xf>
    <x:xf numFmtId="204" fontId="7" fillId="4" borderId="0" xfId="0" applyNumberFormat="1" applyFont="1" applyFill="1" applyBorder="1" applyAlignment="1">
      <x:alignment horizontal="right" vertical="center" wrapText="0"/>
    </x:xf>
    <x:xf numFmtId="0" fontId="7" fillId="4" borderId="4" xfId="0" applyNumberFormat="1" applyFont="1" applyFill="1" applyBorder="1" applyAlignment="1">
      <x:alignment vertical="center" wrapText="0"/>
    </x:xf>
    <x:xf numFmtId="200" fontId="7" fillId="4" borderId="4" xfId="0" applyNumberFormat="1" applyFont="1" applyFill="1" applyBorder="1" applyAlignment="1">
      <x:alignment horizontal="right" vertical="center" wrapText="0"/>
    </x:xf>
    <x:xf numFmtId="203" fontId="7" fillId="4" borderId="4" xfId="0" applyNumberFormat="1" applyFont="1" applyFill="1" applyBorder="1" applyAlignment="1">
      <x:alignment horizontal="right" vertical="center" wrapText="0"/>
    </x:xf>
    <x:xf numFmtId="201" fontId="7" fillId="4" borderId="4" xfId="0" applyNumberFormat="1" applyFont="1" applyFill="1" applyBorder="1" applyAlignment="1">
      <x:alignment horizontal="right" vertical="center" wrapText="0"/>
    </x:xf>
    <x:xf numFmtId="204" fontId="7" fillId="4" borderId="4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right"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2">
    <x:dxf>
      <x:font>
        <x:color rgb="FFAC3232"/>
      </x:font>
    </x:dxf>
    <x:dxf>
      <x:font>
        <x:color rgb="FF23784D"/>
      </x:font>
    </x:dxf>
    <x:dxf>
      <x:font>
        <x:color rgb="FFAC3232"/>
      </x:font>
    </x:dxf>
    <x:dxf>
      <x:font>
        <x:color rgb="FF23784D"/>
      </x:font>
    </x:dxf>
    <x:dxf>
      <x:font>
        <x:color rgb="FFAC3232"/>
      </x:font>
    </x:dxf>
    <x:dxf>
      <x:font>
        <x:color rgb="FF23784D"/>
      </x:font>
    </x:dxf>
    <x:dxf>
      <x:font>
        <x:color rgb="FFAC3232"/>
      </x:font>
    </x:dxf>
    <x:dxf>
      <x:font>
        <x:color rgb="FF23784D"/>
      </x:font>
    </x:dxf>
    <x:dxf>
      <x:font>
        <x:color rgb="FFAC3232"/>
      </x:font>
    </x:dxf>
    <x:dxf>
      <x:font>
        <x:color rgb="FF23784D"/>
      </x:font>
    </x:dxf>
    <x:dxf>
      <x:font>
        <x:color rgb="FFAC3232"/>
      </x:font>
    </x:dxf>
    <x:dxf>
      <x:font>
        <x:color rgb="FF23784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fc08ea1b044a7" /><Relationship Type="http://schemas.openxmlformats.org/officeDocument/2006/relationships/theme" Target="/xl/theme/theme1.xml" Id="R755df51e09d2407c" /><Relationship Type="http://schemas.openxmlformats.org/officeDocument/2006/relationships/sharedStrings" Target="/xl/sharedStrings.xml" Id="R5b7e85658a444446" /><Relationship Type="http://schemas.openxmlformats.org/officeDocument/2006/relationships/worksheet" Target="/xl/worksheets/sheet1.xml" Id="R373c3ac51b714d32" /><Relationship Type="http://schemas.openxmlformats.org/officeDocument/2006/relationships/worksheet" Target="/xl/worksheets/sheet2.xml" Id="R5dbcc603b6714d3e" /><Relationship Type="http://schemas.openxmlformats.org/officeDocument/2006/relationships/worksheet" Target="/xl/worksheets/sheet3.xml" Id="R073c6ac3bdb24ad7" /><Relationship Type="http://schemas.openxmlformats.org/officeDocument/2006/relationships/worksheet" Target="/xl/worksheets/sheet4.xml" Id="R23e5769d48b64c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2ed56bdfe6411a" /><Relationship Type="http://schemas.openxmlformats.org/officeDocument/2006/relationships/chart" Target="/xl/drawings/charts/chart2.xml" Id="R5ab85e0c12464876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Net AI value after fees (USD)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AI value</c:v>
          </c:tx>
          <c:spPr>
            <a:solidFill>
              <a:srgbClr val="245A81"/>
            </a:solidFill>
          </c:spPr>
          <c:invertIfNegative val="0"/>
          <c:cat>
            <c:strRef>
              <c:f>'Summaries'!$B$8:$B$9</c:f>
              <c:strCache>
                <c:ptCount val="2"/>
                <c:pt idx="0">
                  <c:v>Campaign 1</c:v>
                </c:pt>
                <c:pt idx="1">
                  <c:v>Campaign 2</c:v>
                </c:pt>
              </c:strCache>
            </c:strRef>
          </c:cat>
          <c:val>
            <c:numRef>
              <c:f>'Summaries'!$O$8:$O$9</c:f>
              <c:numCache>
                <c:formatCode>"$"#,##0.00;[Red]("$"#,##0.00);"$"0.00</c:formatCode>
                <c:ptCount val="2"/>
                <c:pt idx="0">
                  <c:v>4500.000000000001</c:v>
                </c:pt>
                <c:pt idx="1">
                  <c:v>-4899.999999999999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$#,##0;($#,##0)" sourceLinked="0"/>
        <c:majorTickMark val="none"/>
        <c:minorTickMark val="none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Estimated and actual hours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No-AI hours</c:v>
          </c:tx>
          <c:spPr>
            <a:solidFill>
              <a:srgbClr val="A8BAC9"/>
            </a:solidFill>
          </c:spPr>
          <c:invertIfNegative val="0"/>
          <c:cat>
            <c:strRef>
              <c:f>'Summaries'!$B$8:$B$9</c:f>
              <c:strCache>
                <c:ptCount val="2"/>
                <c:pt idx="0">
                  <c:v>Campaign 1</c:v>
                </c:pt>
                <c:pt idx="1">
                  <c:v>Campaign 2</c:v>
                </c:pt>
              </c:strCache>
            </c:strRef>
          </c:cat>
          <c:val>
            <c:numRef>
              <c:f>'Summaries'!$K$8:$K$9</c:f>
              <c:numCache>
                <c:formatCode>#,##0.00;[Red](#,##0.00);0.00</c:formatCode>
                <c:ptCount val="2"/>
                <c:pt idx="0">
                  <c:v>240</c:v>
                </c:pt>
                <c:pt idx="1">
                  <c:v>200</c:v>
                </c:pt>
              </c:numCache>
            </c:numRef>
          </c:val>
        </c:ser>
        <c:ser>
          <c:idx val="1"/>
          <c:order val="1"/>
          <c:tx>
            <c:v>Actual hours</c:v>
          </c:tx>
          <c:spPr>
            <a:solidFill>
              <a:srgbClr val="245A81"/>
            </a:solidFill>
          </c:spPr>
          <c:invertIfNegative val="0"/>
          <c:cat>
            <c:strRef>
              <c:f>'Summaries'!$B$8:$B$9</c:f>
              <c:strCache>
                <c:ptCount val="2"/>
                <c:pt idx="0">
                  <c:v>Campaign 1</c:v>
                </c:pt>
                <c:pt idx="1">
                  <c:v>Campaign 2</c:v>
                </c:pt>
              </c:strCache>
            </c:strRef>
          </c:cat>
          <c:val>
            <c:numRef>
              <c:f>'Summaries'!$L$8:$L$9</c:f>
              <c:numCache>
                <c:formatCode>#,##0.00;[Red](#,##0.00);0.00</c:formatCode>
                <c:ptCount val="2"/>
                <c:pt idx="0">
                  <c:v>140</c:v>
                </c:pt>
                <c:pt idx="1">
                  <c:v>270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low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anchorCtr="1"/>
          <a:lstStyle/>
          <a:p>
            <a:pPr>
              <a:defRPr sz="10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6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2ed56bdfe6411a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b85e0c124648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asks" displayName="Tasks" ref="A6:X126" headerRowCount="1" totalsRowCount="0" totalsRowShown="0">
  <x:autoFilter ref="A6:X126"/>
  <x:tableColumns count="24">
    <x:tableColumn id="1" name="work_item_id"/>
    <x:tableColumn id="2" name="completion_date"/>
    <x:tableColumn id="3" name="campaign"/>
    <x:tableColumn id="4" name="department"/>
    <x:tableColumn id="5" name="employee"/>
    <x:tableColumn id="6" name="product"/>
    <x:tableColumn id="7" name="model"/>
    <x:tableColumn id="8" name="task_type"/>
    <x:tableColumn id="9" name="prompt_count"/>
    <x:tableColumn id="10" name="input_tokens"/>
    <x:tableColumn id="11" name="output_tokens"/>
    <x:tableColumn id="12" name="input_rate_usd_per_million"/>
    <x:tableColumn id="13" name="output_rate_usd_per_million"/>
    <x:tableColumn id="14" name="baseline_hours"/>
    <x:tableColumn id="15" name="actual_hours"/>
    <x:tableColumn id="16" name="rework_hours"/>
    <x:tableColumn id="17" name="issue_tag"/>
    <x:tableColumn id="18" name="total_tokens"/>
    <x:tableColumn id="19" name="input_cost_usd"/>
    <x:tableColumn id="20" name="output_cost_usd"/>
    <x:tableColumn id="21" name="ai_cost_usd"/>
    <x:tableColumn id="22" name="hours_saved"/>
    <x:tableColumn id="23" name="time_value_usd"/>
    <x:tableColumn id="24" name="net_ai_value_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Tasks" displayName="RawTasks" ref="A6:Q128" headerRowCount="1" totalsRowCount="0" totalsRowShown="0">
  <x:autoFilter ref="A6:Q128"/>
  <x:tableColumns count="17">
    <x:tableColumn id="1" name="work_item_id"/>
    <x:tableColumn id="2" name="completion_date"/>
    <x:tableColumn id="3" name="campaign"/>
    <x:tableColumn id="4" name="department"/>
    <x:tableColumn id="5" name="employee"/>
    <x:tableColumn id="6" name="product"/>
    <x:tableColumn id="7" name="model"/>
    <x:tableColumn id="8" name="task_type"/>
    <x:tableColumn id="9" name="prompt_count"/>
    <x:tableColumn id="10" name="input_tokens"/>
    <x:tableColumn id="11" name="output_tokens"/>
    <x:tableColumn id="12" name="input_rate_usd_per_million"/>
    <x:tableColumn id="13" name="output_rate_usd_per_million"/>
    <x:tableColumn id="14" name="baseline_hours"/>
    <x:tableColumn id="15" name="actual_hours"/>
    <x:tableColumn id="16" name="rework_hours"/>
    <x:tableColumn id="17" name="issue_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861ef80e4d4f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958e113ab2f46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5d8781ede1b4148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3"/>
      <x:c r="B2" s="17" t="str">
        <x:v>Quick Challenge worked solution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3"/>
      <x:c r="B3" s="3" t="str">
        <x:v>MRU, September 2026. Campaigns 1 and 2. Fictional teaching data.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3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</x:row>
    <x:row r="5" ht="28" customHeight="1">
      <x:c r="A5" s="3"/>
      <x:c r="B5" s="27" t="str">
        <x:v>Q1. What tokens, costs and prompts did each campaign use?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5" customHeight="1">
      <x:c r="A6" s="3"/>
      <x:c r="B6" s="8" t="str">
        <x:v>Metric</x:v>
      </x:c>
      <x:c r="C6" s="9" t="str">
        <x:v>Campaign 1</x:v>
      </x:c>
      <x:c r="D6" s="9" t="str">
        <x:v>Campaign 2</x:v>
      </x:c>
      <x:c r="E6" s="10" t="str">
        <x:v>Combined</x:v>
      </x:c>
      <x:c r="F6" s="3"/>
      <x:c r="G6" s="3"/>
      <x:c r="H6" s="3"/>
      <x:c r="I6" s="3"/>
      <x:c r="J6" s="3"/>
      <x:c r="K6" s="3"/>
      <x:c r="L6" s="3"/>
    </x:row>
    <x:row r="7" ht="23" customHeight="1">
      <x:c r="A7" s="3"/>
      <x:c r="B7" s="3" t="str">
        <x:v>Input tokens</x:v>
      </x:c>
      <x:c r="C7" s="14" t="n">
        <x:f>'Summaries'!D8</x:f>
        <x:v>22000000</x:v>
      </x:c>
      <x:c r="D7" s="14" t="n">
        <x:f>'Summaries'!D9</x:f>
        <x:v>32000000</x:v>
      </x:c>
      <x:c r="E7" s="14" t="n">
        <x:f>'Summaries'!D10</x:f>
        <x:v>54000000</x:v>
      </x:c>
      <x:c r="F7" s="3"/>
      <x:c r="G7" s="3"/>
      <x:c r="H7" s="3"/>
      <x:c r="I7" s="3"/>
      <x:c r="J7" s="3"/>
      <x:c r="K7" s="3"/>
      <x:c r="L7" s="3"/>
    </x:row>
    <x:row r="8" ht="23" customHeight="1">
      <x:c r="A8" s="3"/>
      <x:c r="B8" s="3" t="str">
        <x:v>Output tokens</x:v>
      </x:c>
      <x:c r="C8" s="14" t="n">
        <x:f>'Summaries'!E8</x:f>
        <x:v>5000000</x:v>
      </x:c>
      <x:c r="D8" s="14" t="n">
        <x:f>'Summaries'!E9</x:f>
        <x:v>10000000</x:v>
      </x:c>
      <x:c r="E8" s="14" t="n">
        <x:f>'Summaries'!E10</x:f>
        <x:v>15000000</x:v>
      </x:c>
      <x:c r="F8" s="3"/>
      <x:c r="G8" s="3"/>
      <x:c r="H8" s="3"/>
      <x:c r="I8" s="3"/>
      <x:c r="J8" s="3"/>
      <x:c r="K8" s="3"/>
      <x:c r="L8" s="3"/>
    </x:row>
    <x:row r="9" ht="23" customHeight="1">
      <x:c r="A9" s="3"/>
      <x:c r="B9" s="3" t="str">
        <x:v>Total tokens</x:v>
      </x:c>
      <x:c r="C9" s="14" t="n">
        <x:f>'Summaries'!F8</x:f>
        <x:v>27000000</x:v>
      </x:c>
      <x:c r="D9" s="14" t="n">
        <x:f>'Summaries'!F9</x:f>
        <x:v>42000000</x:v>
      </x:c>
      <x:c r="E9" s="14" t="n">
        <x:f>'Summaries'!F10</x:f>
        <x:v>69000000</x:v>
      </x:c>
      <x:c r="F9" s="3"/>
      <x:c r="G9" s="3"/>
      <x:c r="H9" s="3"/>
      <x:c r="I9" s="3"/>
      <x:c r="J9" s="3"/>
      <x:c r="K9" s="3"/>
      <x:c r="L9" s="3"/>
    </x:row>
    <x:row r="10" ht="23" customHeight="1">
      <x:c r="A10" s="3"/>
      <x:c r="B10" s="3" t="str">
        <x:v>Employee prompts</x:v>
      </x:c>
      <x:c r="C10" s="14" t="n">
        <x:f>'Summaries'!G8</x:f>
        <x:v>600</x:v>
      </x:c>
      <x:c r="D10" s="14" t="n">
        <x:f>'Summaries'!G9</x:f>
        <x:v>1200</x:v>
      </x:c>
      <x:c r="E10" s="14" t="n">
        <x:f>'Summaries'!G10</x:f>
        <x:v>1800</x:v>
      </x:c>
      <x:c r="F10" s="3"/>
      <x:c r="G10" s="3"/>
      <x:c r="H10" s="3"/>
      <x:c r="I10" s="3"/>
      <x:c r="J10" s="3"/>
      <x:c r="K10" s="3"/>
      <x:c r="L10" s="3"/>
    </x:row>
    <x:row r="11" ht="23" customHeight="1">
      <x:c r="A11" s="3"/>
      <x:c r="B11" s="3" t="str">
        <x:v>Input cost (USD)</x:v>
      </x:c>
      <x:c r="C11" s="25" t="n">
        <x:f>'Summaries'!H8</x:f>
        <x:v>279.99999999999994</x:v>
      </x:c>
      <x:c r="D11" s="25" t="n">
        <x:f>'Summaries'!H9</x:f>
        <x:v>679.9999999999998</x:v>
      </x:c>
      <x:c r="E11" s="25" t="n">
        <x:f>'Summaries'!H10</x:f>
        <x:v>959.9999999999998</x:v>
      </x:c>
      <x:c r="F11" s="3"/>
      <x:c r="G11" s="3"/>
      <x:c r="H11" s="3"/>
      <x:c r="I11" s="3"/>
      <x:c r="J11" s="3"/>
      <x:c r="K11" s="3"/>
      <x:c r="L11" s="3"/>
    </x:row>
    <x:row r="12" ht="23" customHeight="1">
      <x:c r="A12" s="3"/>
      <x:c r="B12" s="3" t="str">
        <x:v>Output cost (USD)</x:v>
      </x:c>
      <x:c r="C12" s="25" t="n">
        <x:f>'Summaries'!I8</x:f>
        <x:v>219.99999999999997</x:v>
      </x:c>
      <x:c r="D12" s="25" t="n">
        <x:f>'Summaries'!I9</x:f>
        <x:v>720.0000000000001</x:v>
      </x:c>
      <x:c r="E12" s="25" t="n">
        <x:f>'Summaries'!I10</x:f>
        <x:v>940.0000000000001</x:v>
      </x:c>
      <x:c r="F12" s="3"/>
      <x:c r="G12" s="3"/>
      <x:c r="H12" s="3"/>
      <x:c r="I12" s="3"/>
      <x:c r="J12" s="3"/>
      <x:c r="K12" s="3"/>
      <x:c r="L12" s="3"/>
    </x:row>
    <x:row r="13" ht="23" customHeight="1">
      <x:c r="A13" s="3"/>
      <x:c r="B13" s="39" t="str">
        <x:v>Total AI cost (USD)</x:v>
      </x:c>
      <x:c r="C13" s="41" t="n">
        <x:f>'Summaries'!J8</x:f>
        <x:v>500.0000000000001</x:v>
      </x:c>
      <x:c r="D13" s="41" t="n">
        <x:f>'Summaries'!J9</x:f>
        <x:v>1400</x:v>
      </x:c>
      <x:c r="E13" s="41" t="n">
        <x:f>'Summaries'!J10</x:f>
        <x:v>1900</x:v>
      </x:c>
      <x:c r="F13" s="3"/>
      <x:c r="G13" s="3"/>
      <x:c r="H13" s="3"/>
      <x:c r="I13" s="3"/>
      <x:c r="J13" s="3"/>
      <x:c r="K13" s="3"/>
      <x:c r="L13" s="3"/>
    </x:row>
    <x:row r="14" ht="23" customHeight="1">
      <x:c r="A14" s="3"/>
      <x:c r="B14" s="3"/>
      <x:c r="C14" s="26"/>
      <x:c r="D14" s="26"/>
      <x:c r="E14" s="26"/>
      <x:c r="F14" s="3"/>
      <x:c r="G14" s="3"/>
      <x:c r="H14" s="3"/>
      <x:c r="I14" s="3"/>
      <x:c r="J14" s="3"/>
      <x:c r="K14" s="3"/>
      <x:c r="L14" s="3"/>
    </x:row>
    <x:row r="15" ht="23" customHeight="1">
      <x:c r="A15" s="3"/>
      <x:c r="B15" s="3"/>
      <x:c r="C15" s="26"/>
      <x:c r="D15" s="26"/>
      <x:c r="E15" s="26"/>
      <x:c r="F15" s="3"/>
      <x:c r="G15" s="3"/>
      <x:c r="H15" s="3"/>
      <x:c r="I15" s="3"/>
      <x:c r="J15" s="3"/>
      <x:c r="K15" s="3"/>
      <x:c r="L15" s="3"/>
    </x:row>
    <x:row r="16" ht="28" customHeight="1">
      <x:c r="A16" s="3"/>
      <x:c r="B16" s="27" t="str">
        <x:v>Q2. How many hours did each campaign save or lose?</x:v>
      </x:c>
      <x:c r="C16" s="26"/>
      <x:c r="D16" s="26"/>
      <x:c r="E16" s="26"/>
      <x:c r="F16" s="3"/>
      <x:c r="G16" s="3"/>
      <x:c r="H16" s="3"/>
      <x:c r="I16" s="3"/>
      <x:c r="J16" s="3"/>
      <x:c r="K16" s="3"/>
      <x:c r="L16" s="3"/>
    </x:row>
    <x:row r="17" ht="35" customHeight="1">
      <x:c r="A17" s="3"/>
      <x:c r="B17" s="8" t="str">
        <x:v>Metric</x:v>
      </x:c>
      <x:c r="C17" s="9" t="str">
        <x:v>Campaign 1</x:v>
      </x:c>
      <x:c r="D17" s="9" t="str">
        <x:v>Campaign 2</x:v>
      </x:c>
      <x:c r="E17" s="10" t="str">
        <x:v>Combined</x:v>
      </x:c>
      <x:c r="F17" s="3"/>
      <x:c r="G17" s="3"/>
      <x:c r="H17" s="3"/>
      <x:c r="I17" s="3"/>
      <x:c r="J17" s="3"/>
      <x:c r="K17" s="3"/>
      <x:c r="L17" s="3"/>
    </x:row>
    <x:row r="18" ht="23" customHeight="1">
      <x:c r="A18" s="3"/>
      <x:c r="B18" s="3" t="str">
        <x:v>No-AI estimated hours</x:v>
      </x:c>
      <x:c r="C18" s="15" t="n">
        <x:f>'Summaries'!K8</x:f>
        <x:v>240</x:v>
      </x:c>
      <x:c r="D18" s="15" t="n">
        <x:f>'Summaries'!K9</x:f>
        <x:v>200</x:v>
      </x:c>
      <x:c r="E18" s="15" t="n">
        <x:f>'Summaries'!K10</x:f>
        <x:v>440</x:v>
      </x:c>
      <x:c r="F18" s="3"/>
      <x:c r="G18" s="3"/>
      <x:c r="H18" s="3"/>
      <x:c r="I18" s="3"/>
      <x:c r="J18" s="3"/>
      <x:c r="K18" s="3"/>
      <x:c r="L18" s="3"/>
    </x:row>
    <x:row r="19" ht="23" customHeight="1">
      <x:c r="A19" s="3"/>
      <x:c r="B19" s="3" t="str">
        <x:v>Actual hours with AI</x:v>
      </x:c>
      <x:c r="C19" s="15" t="n">
        <x:f>'Summaries'!L8</x:f>
        <x:v>140</x:v>
      </x:c>
      <x:c r="D19" s="15" t="n">
        <x:f>'Summaries'!L9</x:f>
        <x:v>270</x:v>
      </x:c>
      <x:c r="E19" s="15" t="n">
        <x:f>'Summaries'!L10</x:f>
        <x:v>410</x:v>
      </x:c>
      <x:c r="F19" s="3"/>
      <x:c r="G19" s="3"/>
      <x:c r="H19" s="3"/>
      <x:c r="I19" s="3"/>
      <x:c r="J19" s="3"/>
      <x:c r="K19" s="3"/>
      <x:c r="L19" s="3"/>
    </x:row>
    <x:row r="20" ht="23" customHeight="1">
      <x:c r="A20" s="3"/>
      <x:c r="B20" s="39" t="str">
        <x:v>Net hours saved</x:v>
      </x:c>
      <x:c r="C20" s="42" t="n">
        <x:f>'Summaries'!M8</x:f>
        <x:v>100</x:v>
      </x:c>
      <x:c r="D20" s="42" t="n">
        <x:f>'Summaries'!M9</x:f>
        <x:v>-69.99999999999997</x:v>
      </x:c>
      <x:c r="E20" s="42" t="n">
        <x:f>'Summaries'!M10</x:f>
        <x:v>30.00000000000003</x:v>
      </x:c>
      <x:c r="F20" s="3"/>
      <x:c r="G20" s="3"/>
      <x:c r="H20" s="3"/>
      <x:c r="I20" s="3"/>
      <x:c r="J20" s="3"/>
      <x:c r="K20" s="3"/>
      <x:c r="L20" s="3"/>
    </x:row>
    <x:row r="21" ht="23" customHeight="1">
      <x:c r="A21" s="3"/>
      <x:c r="B21" s="3"/>
      <x:c r="C21" s="26"/>
      <x:c r="D21" s="26"/>
      <x:c r="E21" s="26"/>
      <x:c r="F21" s="3"/>
      <x:c r="G21" s="3"/>
      <x:c r="H21" s="3"/>
      <x:c r="I21" s="3"/>
      <x:c r="J21" s="3"/>
      <x:c r="K21" s="3"/>
      <x:c r="L21" s="3"/>
    </x:row>
    <x:row r="22" ht="28" customHeight="1">
      <x:c r="A22" s="3"/>
      <x:c r="B22" s="27" t="str">
        <x:v>Q3. After AI fees, was estimated net value positive or negative?</x:v>
      </x:c>
      <x:c r="C22" s="26"/>
      <x:c r="D22" s="26"/>
      <x:c r="E22" s="26"/>
      <x:c r="F22" s="3"/>
      <x:c r="G22" s="3"/>
      <x:c r="H22" s="3"/>
      <x:c r="I22" s="3"/>
      <x:c r="J22" s="3"/>
      <x:c r="K22" s="3"/>
      <x:c r="L22" s="3"/>
    </x:row>
    <x:row r="23" ht="35" customHeight="1">
      <x:c r="A23" s="3"/>
      <x:c r="B23" s="8" t="str">
        <x:v>Metric</x:v>
      </x:c>
      <x:c r="C23" s="9" t="str">
        <x:v>Campaign 1</x:v>
      </x:c>
      <x:c r="D23" s="9" t="str">
        <x:v>Campaign 2</x:v>
      </x:c>
      <x:c r="E23" s="10" t="str">
        <x:v>Combined</x:v>
      </x:c>
      <x:c r="F23" s="3"/>
      <x:c r="G23" s="3"/>
      <x:c r="H23" s="3"/>
      <x:c r="I23" s="3"/>
      <x:c r="J23" s="3"/>
      <x:c r="K23" s="3"/>
      <x:c r="L23" s="3"/>
    </x:row>
    <x:row r="24" ht="23" customHeight="1">
      <x:c r="A24" s="3"/>
      <x:c r="B24" s="3" t="str">
        <x:f>"Time value at "&amp;TEXT('Clean'!$B$3,"$0")&amp;"/hour"</x:f>
        <x:v>Time value at $50/hour</x:v>
      </x:c>
      <x:c r="C24" s="25" t="n">
        <x:f>'Summaries'!N8</x:f>
        <x:v>5000</x:v>
      </x:c>
      <x:c r="D24" s="25" t="n">
        <x:f>'Summaries'!N9</x:f>
        <x:v>-3500</x:v>
      </x:c>
      <x:c r="E24" s="25" t="n">
        <x:f>'Summaries'!N10</x:f>
        <x:v>1500</x:v>
      </x:c>
      <x:c r="F24" s="3"/>
      <x:c r="G24" s="3"/>
      <x:c r="H24" s="3"/>
      <x:c r="I24" s="3"/>
      <x:c r="J24" s="3"/>
      <x:c r="K24" s="3"/>
      <x:c r="L24" s="3"/>
    </x:row>
    <x:row r="25" ht="23" customHeight="1">
      <x:c r="A25" s="3"/>
      <x:c r="B25" s="3" t="str">
        <x:v>AI cost (USD)</x:v>
      </x:c>
      <x:c r="C25" s="25" t="n">
        <x:f>'Summaries'!J8</x:f>
        <x:v>500.0000000000001</x:v>
      </x:c>
      <x:c r="D25" s="25" t="n">
        <x:f>'Summaries'!J9</x:f>
        <x:v>1400</x:v>
      </x:c>
      <x:c r="E25" s="25" t="n">
        <x:f>'Summaries'!J10</x:f>
        <x:v>1900</x:v>
      </x:c>
      <x:c r="F25" s="3"/>
      <x:c r="G25" s="3"/>
      <x:c r="H25" s="3"/>
      <x:c r="I25" s="3"/>
      <x:c r="J25" s="3"/>
      <x:c r="K25" s="3"/>
      <x:c r="L25" s="3"/>
    </x:row>
    <x:row r="26" ht="23" customHeight="1">
      <x:c r="A26" s="3"/>
      <x:c r="B26" s="39" t="str">
        <x:v>Net AI value (USD)</x:v>
      </x:c>
      <x:c r="C26" s="41" t="n">
        <x:f>'Summaries'!O8</x:f>
        <x:v>4500.000000000001</x:v>
      </x:c>
      <x:c r="D26" s="41" t="n">
        <x:f>'Summaries'!O9</x:f>
        <x:v>-4899.999999999999</x:v>
      </x:c>
      <x:c r="E26" s="41" t="n">
        <x:f>'Summaries'!O10</x:f>
        <x:v>-399.9999999999982</x:v>
      </x:c>
      <x:c r="F26" s="3"/>
      <x:c r="G26" s="3"/>
      <x:c r="H26" s="3"/>
      <x:c r="I26" s="3"/>
      <x:c r="J26" s="3"/>
      <x:c r="K26" s="3"/>
      <x:c r="L26" s="3"/>
    </x:row>
    <x:row r="27" ht="23" customHeight="1">
      <x:c r="A27" s="3"/>
      <x:c r="B27" s="3" t="str">
        <x:v>AI ROI</x:v>
      </x:c>
      <x:c r="C27" s="28" t="n">
        <x:f>'Summaries'!P8</x:f>
        <x:v>9</x:v>
      </x:c>
      <x:c r="D27" s="28" t="n">
        <x:f>'Summaries'!P9</x:f>
        <x:v>-3.4999999999999996</x:v>
      </x:c>
      <x:c r="E27" s="28" t="n">
        <x:f>'Summaries'!P10</x:f>
        <x:v>-0.21052631578947273</x:v>
      </x:c>
      <x:c r="F27" s="3"/>
      <x:c r="G27" s="3"/>
      <x:c r="H27" s="3"/>
      <x:c r="I27" s="3"/>
      <x:c r="J27" s="3"/>
      <x:c r="K27" s="3"/>
      <x:c r="L27" s="3"/>
    </x:row>
    <x:row r="28" ht="23" customHeight="1">
      <x:c r="A28" s="3"/>
      <x:c r="B28" s="47" t="str">
        <x:v>ROI uses totals. Time value is not payroll cash saved.</x:v>
      </x:c>
      <x:c r="C28" s="26"/>
      <x:c r="D28" s="26"/>
      <x:c r="E28" s="26"/>
      <x:c r="F28" s="3"/>
      <x:c r="G28" s="3"/>
      <x:c r="H28" s="3"/>
      <x:c r="I28" s="3"/>
      <x:c r="J28" s="3"/>
      <x:c r="K28" s="3"/>
      <x:c r="L28" s="3"/>
    </x:row>
    <x:row r="29" ht="23" customHeight="1">
      <x:c r="A29" s="3"/>
      <x:c r="B29" s="3"/>
      <x:c r="C29" s="26"/>
      <x:c r="D29" s="26"/>
      <x:c r="E29" s="26"/>
      <x:c r="F29" s="3"/>
      <x:c r="G29" s="3"/>
      <x:c r="H29" s="3"/>
      <x:c r="I29" s="3"/>
      <x:c r="J29" s="3"/>
      <x:c r="K29" s="3"/>
      <x:c r="L29" s="3"/>
    </x:row>
    <x:row r="30" ht="28" customHeight="1">
      <x:c r="A30" s="3"/>
      <x:c r="B30" s="27" t="str">
        <x:v>Q4. Which department led AI spending and net AI value?</x:v>
      </x:c>
      <x:c r="C30" s="26"/>
      <x:c r="D30" s="26"/>
      <x:c r="E30" s="26"/>
      <x:c r="F30" s="3"/>
      <x:c r="G30" s="3"/>
      <x:c r="H30" s="3"/>
      <x:c r="I30" s="3"/>
      <x:c r="J30" s="3"/>
      <x:c r="K30" s="3"/>
      <x:c r="L30" s="3"/>
    </x:row>
    <x:row r="31" ht="35" customHeight="1">
      <x:c r="A31" s="3"/>
      <x:c r="B31" s="8" t="str">
        <x:v>Department</x:v>
      </x:c>
      <x:c r="C31" s="9" t="str">
        <x:v>AI cost (USD)</x:v>
      </x:c>
      <x:c r="D31" s="9" t="str">
        <x:v>Net AI value (USD)</x:v>
      </x:c>
      <x:c r="E31" s="10" t="str">
        <x:v>Hours saved</x:v>
      </x:c>
      <x:c r="F31" s="3"/>
      <x:c r="G31" s="3"/>
      <x:c r="H31" s="3"/>
      <x:c r="I31" s="3"/>
      <x:c r="J31" s="3"/>
      <x:c r="K31" s="3"/>
      <x:c r="L31" s="3"/>
    </x:row>
    <x:row r="32" ht="23" customHeight="1">
      <x:c r="A32" s="3"/>
      <x:c r="B32" s="3" t="str">
        <x:f>'Summaries'!B16</x:f>
        <x:v>Analytics</x:v>
      </x:c>
      <x:c r="C32" s="25" t="n">
        <x:f>'Summaries'!C16</x:f>
        <x:v>460.53882</x:v>
      </x:c>
      <x:c r="D32" s="25" t="n">
        <x:f>'Summaries'!D16</x:f>
        <x:v>-432.03881999999993</x:v>
      </x:c>
      <x:c r="E32" s="15" t="n">
        <x:f>'Summaries'!E16</x:f>
        <x:v>0.5699999999999994</x:v>
      </x:c>
      <x:c r="F32" s="3"/>
      <x:c r="G32" s="3"/>
      <x:c r="H32" s="3"/>
      <x:c r="I32" s="3"/>
      <x:c r="J32" s="3"/>
      <x:c r="K32" s="3"/>
      <x:c r="L32" s="3"/>
    </x:row>
    <x:row r="33" ht="23" customHeight="1">
      <x:c r="A33" s="3"/>
      <x:c r="B33" s="3" t="str">
        <x:f>'Summaries'!B17</x:f>
        <x:v>Content</x:v>
      </x:c>
      <x:c r="C33" s="25" t="n">
        <x:f>'Summaries'!C17</x:f>
        <x:v>448.13471</x:v>
      </x:c>
      <x:c r="D33" s="25" t="n">
        <x:f>'Summaries'!D17</x:f>
        <x:v>-148.1347100000002</x:v>
      </x:c>
      <x:c r="E33" s="15" t="n">
        <x:f>'Summaries'!E17</x:f>
        <x:v>5.999999999999996</x:v>
      </x:c>
      <x:c r="F33" s="3"/>
      <x:c r="G33" s="3"/>
      <x:c r="H33" s="3"/>
      <x:c r="I33" s="3"/>
      <x:c r="J33" s="3"/>
      <x:c r="K33" s="3"/>
      <x:c r="L33" s="3"/>
    </x:row>
    <x:row r="34" ht="23" customHeight="1">
      <x:c r="A34" s="3"/>
      <x:c r="B34" s="3" t="str">
        <x:f>'Summaries'!B18</x:f>
        <x:v>Creative</x:v>
      </x:c>
      <x:c r="C34" s="25" t="n">
        <x:f>'Summaries'!C18</x:f>
        <x:v>498.36582999999996</x:v>
      </x:c>
      <x:c r="D34" s="25" t="n">
        <x:f>'Summaries'!D18</x:f>
        <x:v>381.63417000000027</x:v>
      </x:c>
      <x:c r="E34" s="15" t="n">
        <x:f>'Summaries'!E18</x:f>
        <x:v>17.600000000000005</x:v>
      </x:c>
      <x:c r="F34" s="3"/>
      <x:c r="G34" s="3"/>
      <x:c r="H34" s="3"/>
      <x:c r="I34" s="3"/>
      <x:c r="J34" s="3"/>
      <x:c r="K34" s="3"/>
      <x:c r="L34" s="3"/>
    </x:row>
    <x:row r="35" ht="23" customHeight="1">
      <x:c r="A35" s="3"/>
      <x:c r="B35" s="3" t="str">
        <x:f>'Summaries'!B19</x:f>
        <x:v>Marketing Operations</x:v>
      </x:c>
      <x:c r="C35" s="25" t="n">
        <x:f>'Summaries'!C19</x:f>
        <x:v>492.96064</x:v>
      </x:c>
      <x:c r="D35" s="25" t="n">
        <x:f>'Summaries'!D19</x:f>
        <x:v>-201.46063999999993</x:v>
      </x:c>
      <x:c r="E35" s="15" t="n">
        <x:f>'Summaries'!E19</x:f>
        <x:v>5.829999999999997</x:v>
      </x:c>
      <x:c r="F35" s="3"/>
      <x:c r="G35" s="3"/>
      <x:c r="H35" s="3"/>
      <x:c r="I35" s="3"/>
      <x:c r="J35" s="3"/>
      <x:c r="K35" s="3"/>
      <x:c r="L35" s="3"/>
    </x:row>
    <x:row r="36" ht="23" customHeight="1">
      <x:c r="A36" s="3"/>
      <x:c r="B36" s="3"/>
      <x:c r="C36" s="26"/>
      <x:c r="D36" s="26"/>
      <x:c r="E36" s="26"/>
      <x:c r="F36" s="3"/>
      <x:c r="G36" s="3"/>
      <x:c r="H36" s="3"/>
      <x:c r="I36" s="3"/>
      <x:c r="J36" s="3"/>
      <x:c r="K36" s="3"/>
      <x:c r="L36" s="3"/>
    </x:row>
    <x:row r="37" ht="23" customHeight="1">
      <x:c r="A37" s="3"/>
      <x:c r="B37" s="3" t="str">
        <x:f>"Highest spending: "&amp;INDEX(B32:B35,MATCH(MAX(C32:C35),C32:C35,0))&amp;" ("&amp;TEXT(MAX(C32:C35),"$#,##0.00")&amp;")."</x:f>
        <x:v>Highest spending: Creative ($498.37).</x:v>
      </x:c>
      <x:c r="C37" s="26"/>
      <x:c r="D37" s="26"/>
      <x:c r="E37" s="26"/>
      <x:c r="F37" s="3"/>
      <x:c r="G37" s="3"/>
      <x:c r="H37" s="3"/>
      <x:c r="I37" s="3"/>
      <x:c r="J37" s="3"/>
      <x:c r="K37" s="3"/>
      <x:c r="L37" s="3"/>
    </x:row>
    <x:row r="38" ht="23" customHeight="1">
      <x:c r="A38" s="3"/>
      <x:c r="B38" s="3" t="str">
        <x:f>"Highest net AI value: "&amp;INDEX(B32:B35,MATCH(MAX(D32:D35),D32:D35,0))&amp;" ("&amp;TEXT(MAX(D32:D35),"$#,##0.00")&amp;")."</x:f>
        <x:v>Highest net AI value: Creative ($381.63).</x:v>
      </x:c>
      <x:c r="C38" s="26"/>
      <x:c r="D38" s="26"/>
      <x:c r="E38" s="26"/>
      <x:c r="F38" s="3"/>
      <x:c r="G38" s="3"/>
      <x:c r="H38" s="3"/>
      <x:c r="I38" s="3"/>
      <x:c r="J38" s="3"/>
      <x:c r="K38" s="3"/>
      <x:c r="L38" s="3"/>
    </x:row>
    <x:row r="39" ht="23" customHeight="1">
      <x:c r="A39" s="3"/>
      <x:c r="B39" s="3"/>
      <x:c r="C39" s="26"/>
      <x:c r="D39" s="26"/>
      <x:c r="E39" s="26"/>
      <x:c r="F39" s="3"/>
      <x:c r="G39" s="3"/>
      <x:c r="H39" s="3"/>
      <x:c r="I39" s="3"/>
      <x:c r="J39" s="3"/>
      <x:c r="K39" s="3"/>
      <x:c r="L39" s="3"/>
    </x:row>
    <x:row r="40" ht="28" customHeight="1">
      <x:c r="A40" s="3"/>
      <x:c r="B40" s="27" t="str">
        <x:v>Q5. Which campaign had more rework, and which issues appeared most?</x:v>
      </x:c>
      <x:c r="C40" s="26"/>
      <x:c r="D40" s="26"/>
      <x:c r="E40" s="26"/>
      <x:c r="F40" s="3"/>
      <x:c r="G40" s="3"/>
      <x:c r="H40" s="3"/>
      <x:c r="I40" s="3"/>
      <x:c r="J40" s="3"/>
      <x:c r="K40" s="3"/>
      <x:c r="L40" s="3"/>
    </x:row>
    <x:row r="41" ht="35" customHeight="1">
      <x:c r="A41" s="3"/>
      <x:c r="B41" s="8" t="str">
        <x:v>Campaign</x:v>
      </x:c>
      <x:c r="C41" s="9" t="str">
        <x:v>Rework hours</x:v>
      </x:c>
      <x:c r="D41" s="10" t="str">
        <x:v>Share of actual hours</x:v>
      </x:c>
      <x:c r="E41" s="26"/>
      <x:c r="F41" s="3"/>
      <x:c r="G41" s="3"/>
      <x:c r="H41" s="3"/>
      <x:c r="I41" s="3"/>
      <x:c r="J41" s="3"/>
      <x:c r="K41" s="3"/>
      <x:c r="L41" s="3"/>
    </x:row>
    <x:row r="42" ht="23" customHeight="1">
      <x:c r="A42" s="3"/>
      <x:c r="B42" s="3" t="str">
        <x:f>'Summaries'!B8</x:f>
        <x:v>Campaign 1</x:v>
      </x:c>
      <x:c r="C42" s="15" t="n">
        <x:f>'Summaries'!Q8</x:f>
        <x:v>10.739999999999998</x:v>
      </x:c>
      <x:c r="D42" s="28" t="n">
        <x:f>'Summaries'!R8</x:f>
        <x:v>0.07671428571428571</x:v>
      </x:c>
      <x:c r="E42" s="26"/>
      <x:c r="F42" s="3"/>
      <x:c r="G42" s="3"/>
      <x:c r="H42" s="3"/>
      <x:c r="I42" s="3"/>
      <x:c r="J42" s="3"/>
      <x:c r="K42" s="3"/>
      <x:c r="L42" s="3"/>
    </x:row>
    <x:row r="43" ht="23" customHeight="1">
      <x:c r="A43" s="3"/>
      <x:c r="B43" s="3" t="str">
        <x:f>'Summaries'!B9</x:f>
        <x:v>Campaign 2</x:v>
      </x:c>
      <x:c r="C43" s="15" t="n">
        <x:f>'Summaries'!Q9</x:f>
        <x:v>87.81999999999998</x:v>
      </x:c>
      <x:c r="D43" s="28" t="n">
        <x:f>'Summaries'!R9</x:f>
        <x:v>0.3252592592592592</x:v>
      </x:c>
      <x:c r="E43" s="26"/>
      <x:c r="F43" s="3"/>
      <x:c r="G43" s="3"/>
      <x:c r="H43" s="3"/>
      <x:c r="I43" s="3"/>
      <x:c r="J43" s="3"/>
      <x:c r="K43" s="3"/>
      <x:c r="L43" s="3"/>
    </x:row>
    <x:row r="44" ht="23" customHeight="1">
      <x:c r="A44" s="3"/>
      <x:c r="B44" s="3"/>
      <x:c r="C44" s="26"/>
      <x:c r="D44" s="26"/>
      <x:c r="E44" s="26"/>
      <x:c r="F44" s="3"/>
      <x:c r="G44" s="3"/>
      <x:c r="H44" s="3"/>
      <x:c r="I44" s="3"/>
      <x:c r="J44" s="3"/>
      <x:c r="K44" s="3"/>
      <x:c r="L44" s="3"/>
    </x:row>
    <x:row r="45" ht="35" customHeight="1">
      <x:c r="A45" s="3"/>
      <x:c r="B45" s="8" t="str">
        <x:v>Recorded issue</x:v>
      </x:c>
      <x:c r="C45" s="9" t="str">
        <x:v>Campaign 1 tasks</x:v>
      </x:c>
      <x:c r="D45" s="9" t="str">
        <x:v>Campaign 2 tasks</x:v>
      </x:c>
      <x:c r="E45" s="10" t="str">
        <x:v>Combined tasks</x:v>
      </x:c>
      <x:c r="F45" s="3"/>
      <x:c r="G45" s="3"/>
      <x:c r="H45" s="3"/>
      <x:c r="I45" s="3"/>
      <x:c r="J45" s="3"/>
      <x:c r="K45" s="3"/>
      <x:c r="L45" s="3"/>
    </x:row>
    <x:row r="46" ht="23" customHeight="1">
      <x:c r="A46" s="3"/>
      <x:c r="B46" s="3" t="str">
        <x:f>'Summaries'!B26</x:f>
        <x:v>Brief changed</x:v>
      </x:c>
      <x:c r="C46" s="14" t="n">
        <x:f>'Summaries'!C26</x:f>
        <x:v>10</x:v>
      </x:c>
      <x:c r="D46" s="14" t="n">
        <x:f>'Summaries'!D26</x:f>
        <x:v>27</x:v>
      </x:c>
      <x:c r="E46" s="14" t="n">
        <x:f>'Summaries'!E26</x:f>
        <x:v>37</x:v>
      </x:c>
      <x:c r="F46" s="3"/>
      <x:c r="G46" s="3"/>
      <x:c r="H46" s="3"/>
      <x:c r="I46" s="3"/>
      <x:c r="J46" s="3"/>
      <x:c r="K46" s="3"/>
      <x:c r="L46" s="3"/>
    </x:row>
    <x:row r="47" ht="23" customHeight="1">
      <x:c r="A47" s="3"/>
      <x:c r="B47" s="3" t="str">
        <x:f>'Summaries'!B27</x:f>
        <x:v>Data problem</x:v>
      </x:c>
      <x:c r="C47" s="14" t="n">
        <x:f>'Summaries'!C27</x:f>
        <x:v>9</x:v>
      </x:c>
      <x:c r="D47" s="14" t="n">
        <x:f>'Summaries'!D27</x:f>
        <x:v>13</x:v>
      </x:c>
      <x:c r="E47" s="14" t="n">
        <x:f>'Summaries'!E27</x:f>
        <x:v>22</x:v>
      </x:c>
      <x:c r="F47" s="3"/>
      <x:c r="G47" s="3"/>
      <x:c r="H47" s="3"/>
      <x:c r="I47" s="3"/>
      <x:c r="J47" s="3"/>
      <x:c r="K47" s="3"/>
      <x:c r="L47" s="3"/>
    </x:row>
    <x:row r="48" ht="23" customHeight="1">
      <x:c r="A48" s="3"/>
      <x:c r="B48" s="3" t="str">
        <x:f>'Summaries'!B28</x:f>
        <x:v>Unclear prompt</x:v>
      </x:c>
      <x:c r="C48" s="14" t="n">
        <x:f>'Summaries'!C28</x:f>
        <x:v>9</x:v>
      </x:c>
      <x:c r="D48" s="14" t="n">
        <x:f>'Summaries'!D28</x:f>
        <x:v>10</x:v>
      </x:c>
      <x:c r="E48" s="14" t="n">
        <x:f>'Summaries'!E28</x:f>
        <x:v>19</x:v>
      </x:c>
      <x:c r="F48" s="3"/>
      <x:c r="G48" s="3"/>
      <x:c r="H48" s="3"/>
      <x:c r="I48" s="3"/>
      <x:c r="J48" s="3"/>
      <x:c r="K48" s="3"/>
      <x:c r="L48" s="3"/>
    </x:row>
    <x:row r="49" ht="23" customHeight="1">
      <x:c r="A49" s="3"/>
      <x:c r="B49" s="3" t="str">
        <x:f>'Summaries'!B29</x:f>
        <x:v>None</x:v>
      </x:c>
      <x:c r="C49" s="14" t="n">
        <x:f>'Summaries'!C29</x:f>
        <x:v>32</x:v>
      </x:c>
      <x:c r="D49" s="14" t="n">
        <x:f>'Summaries'!D29</x:f>
        <x:v>10</x:v>
      </x:c>
      <x:c r="E49" s="14" t="n">
        <x:f>'Summaries'!E29</x:f>
        <x:v>42</x:v>
      </x:c>
      <x:c r="F49" s="3"/>
      <x:c r="G49" s="3"/>
      <x:c r="H49" s="3"/>
      <x:c r="I49" s="3"/>
      <x:c r="J49" s="3"/>
      <x:c r="K49" s="3"/>
      <x:c r="L49" s="3"/>
    </x:row>
    <x:row r="50" ht="23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3" customHeight="1">
      <x:c r="A51" s="3"/>
      <x:c r="B51" s="3" t="str">
        <x:f>INDEX(B42:B43,MATCH(MAX(C42:C43),C42:C43,0))&amp;" had the most rework: "&amp;TEXT(MAX(C42:C43),"0.00")&amp;" hours."</x:f>
        <x:v>Campaign 2 had the most rework: 87.82 hours.</x:v>
      </x:c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3" customHeight="1">
      <x:c r="A52" s="3"/>
      <x:c r="B52" s="3" t="str">
        <x:f>"Most common problem: "&amp;INDEX(B46:B48,MATCH(MAX(E46:E48),E46:E48,0))&amp;" ("&amp;TEXT(MAX(E46:E48),"0")&amp;" tasks). None means no recorded issue."</x:f>
        <x:v>Most common problem: Brief changed (37 tasks). None means no recorded issue.</x:v>
      </x:c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3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8" customHeight="1">
      <x:c r="A54" s="3"/>
      <x:c r="B54" s="27" t="str">
        <x:v>Q6. Should MRU keep, change or reduce its AI use?</x:v>
      </x:c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3" customHeight="1">
      <x:c r="A55" s="3"/>
      <x:c r="B55" s="3" t="str">
        <x:v>Keep the disciplined AI workflow used in Campaign 1. Its 100 hours saved were worth $5,000 at the supplied</x:v>
      </x:c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3" customHeight="1">
      <x:c r="A56" s="3"/>
      <x:c r="B56" s="3" t="str">
        <x:v>$50 hourly rate, exceeding its $500 AI bill and leaving $4,500 of estimated net value. Action 1: document</x:v>
      </x:c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3" customHeight="1">
      <x:c r="A57" s="3"/>
      <x:c r="B57" s="3" t="str">
        <x:v>its task selection, prompt preparation and review process, then repeat that process on comparable work.</x:v>
      </x:c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3" customHeight="1">
      <x:c r="A58" s="3"/>
      <x:c r="B58" s="3" t="str">
        <x:v>Record actual hours and rework so the team can confirm that the benefit continues at acceptable quality.</x:v>
      </x:c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3" customHeight="1">
      <x:c r="A59" s="3"/>
      <x:c r="B59" s="3" t="str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3" customHeight="1">
      <x:c r="A60" s="3"/>
      <x:c r="B60" s="3" t="str">
        <x:v>Change and temporarily narrow AI use in Campaign 2. It used twice as many prompts as Campaign 1, yet</x:v>
      </x:c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3" customHeight="1">
      <x:c r="A61" s="3"/>
      <x:c r="B61" s="3" t="str">
        <x:v>required 70 more hours than its no-AI estimate and produced a $4,900 net loss after $1,400 of AI fees.</x:v>
      </x:c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3" customHeight="1">
      <x:c r="A62" s="3"/>
      <x:c r="B62" s="3" t="str">
        <x:v>Action 2: stabilize briefs before prompting and set a review checkpoint for rework-heavy tasks. Brief</x:v>
      </x:c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3" customHeight="1">
      <x:c r="A63" s="3"/>
      <x:c r="B63" s="3" t="str">
        <x:v>changes affected 27 Campaign 2 tasks, and its 87.82 rework hours warrant investigation before expanding use.</x:v>
      </x:c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3" customHeight="1">
      <x:c r="A64" s="3"/>
      <x:c r="B64" s="3" t="str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3" customHeight="1">
      <x:c r="A65" s="3"/>
      <x:c r="B65" s="3" t="str">
        <x:v>Compare future results using summed net value and rework hours, not prompt volume alone. The combined</x:v>
      </x:c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3" customHeight="1">
      <x:c r="A66" s="3"/>
      <x:c r="B66" s="3" t="str">
        <x:v>result is a $400 net loss, so a positive campaign should not hide a weak one. These are observations from</x:v>
      </x:c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3" customHeight="1">
      <x:c r="A67" s="3"/>
      <x:c r="B67" s="3" t="str">
        <x:v>fictional data, not proof of causation or cash payroll savings. Baseline hours are estimates and campaign</x:v>
      </x:c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3" customHeight="1">
      <x:c r="A68" s="3"/>
      <x:c r="B68" s="3" t="str">
        <x:v>profit cannot be calculated because this quick-track file supplies no revenue or other campaign costs.</x:v>
      </x:c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3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3" customHeight="1">
      <x:c r="A70" s="3"/>
      <x:c r="B70" s="18" t="str">
        <x:v>How to trace an answer: Solution links to Summaries; Summaries groups Clean; Clean retains visible task formulas.</x:v>
      </x:c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23" customHeight="1">
      <x:c r="A71" s="3"/>
      <x:c r="B71" s="18" t="str">
        <x:v>Raw preserves the original export. Clean removes two duplicate IDs and standardizes department labels.</x:v>
      </x:c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23" customHeight="1">
      <x:c r="A72" s="3"/>
      <x:c r="B72" s="18" t="str">
        <x:v>Use the supplied data for the reference answer. Editing Clean updates formulas and charts; review the written recommendation after changes.</x:v>
      </x:c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23" customHeight="1">
      <x:c r="A73" s="3"/>
      <x:c r="B73" s="18" t="str">
        <x:v>No external data connection or macro is required. All calculations and source rows are inside this workbook.</x:v>
      </x:c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3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3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3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3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23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</x:sheetData>
  <x:conditionalFormatting sqref="C20:E20">
    <x:cfRule type="cellIs" dxfId="6" priority="1" operator="lessThan">
      <x:formula>0</x:formula>
    </x:cfRule>
    <x:cfRule type="cellIs" dxfId="7" priority="2" operator="greaterThan">
      <x:formula>0</x:formula>
    </x:cfRule>
  </x:conditionalFormatting>
  <x:conditionalFormatting sqref="C26:E27">
    <x:cfRule type="cellIs" dxfId="8" priority="3" operator="lessThan">
      <x:formula>0</x:formula>
    </x:cfRule>
    <x:cfRule type="cellIs" dxfId="9" priority="4" operator="greaterThan">
      <x:formula>0</x:formula>
    </x:cfRule>
  </x:conditionalFormatting>
  <x:conditionalFormatting sqref="D32:E35">
    <x:cfRule type="cellIs" dxfId="10" priority="5" operator="lessThan">
      <x:formula>0</x:formula>
    </x:cfRule>
    <x:cfRule type="cellIs" dxfId="11" priority="6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c6861ef80e4d4ffd"/>
</x:worksheet>
</file>

<file path=xl/worksheets/sheet2.xml><?xml version="1.0" encoding="utf-8"?>
<x:worksheet xmlns:x="http://schemas.openxmlformats.org/spreadsheetml/2006/main">
  <x:sheetPr>
    <x:tabColor rgb="FF245A81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9" customHeight="1">
      <x:c r="A2" s="3"/>
      <x:c r="B2" s="17" t="str">
        <x:v>Grouped calculations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3" customHeight="1">
      <x:c r="A3" s="3"/>
      <x:c r="B3" s="3" t="str">
        <x:v>SUMIFS and COUNTIFS group the same task table used in learner PivotTables. These formulas recalculate without a refresh.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3"/>
      <x:c r="B4" s="3" t="str">
        <x:v>Scope: Campaigns 1 and 2 only. Read each formula in the Excel formula bar. Totals retain full precision.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3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8" customHeight="1">
      <x:c r="A6" s="3"/>
      <x:c r="B6" s="27" t="str">
        <x:v>Campaign totals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43" customHeight="1">
      <x:c r="A7" s="3"/>
      <x:c r="B7" s="8" t="str">
        <x:v>Campaign</x:v>
      </x:c>
      <x:c r="C7" s="9" t="str">
        <x:v>Tasks</x:v>
      </x:c>
      <x:c r="D7" s="9" t="str">
        <x:v>Input tokens</x:v>
      </x:c>
      <x:c r="E7" s="9" t="str">
        <x:v>Output tokens</x:v>
      </x:c>
      <x:c r="F7" s="9" t="str">
        <x:v>Total tokens</x:v>
      </x:c>
      <x:c r="G7" s="9" t="str">
        <x:v>Prompts</x:v>
      </x:c>
      <x:c r="H7" s="9" t="str">
        <x:v>Input cost</x:v>
      </x:c>
      <x:c r="I7" s="9" t="str">
        <x:v>Output cost</x:v>
      </x:c>
      <x:c r="J7" s="9" t="str">
        <x:v>AI cost</x:v>
      </x:c>
      <x:c r="K7" s="9" t="str">
        <x:v>No-AI hours</x:v>
      </x:c>
      <x:c r="L7" s="9" t="str">
        <x:v>Actual hours</x:v>
      </x:c>
      <x:c r="M7" s="9" t="str">
        <x:v>Hours saved</x:v>
      </x:c>
      <x:c r="N7" s="9" t="str">
        <x:v>Time value</x:v>
      </x:c>
      <x:c r="O7" s="9" t="str">
        <x:v>Net AI value</x:v>
      </x:c>
      <x:c r="P7" s="9" t="str">
        <x:v>AI ROI</x:v>
      </x:c>
      <x:c r="Q7" s="9" t="str">
        <x:v>Rework hours</x:v>
      </x:c>
      <x:c r="R7" s="10" t="str">
        <x:v>Rework share</x:v>
      </x:c>
    </x:row>
    <x:row r="8" ht="23" customHeight="1">
      <x:c r="A8" s="3"/>
      <x:c r="B8" s="3" t="str">
        <x:v>Campaign 1</x:v>
      </x:c>
      <x:c r="C8" s="14" t="n">
        <x:f>COUNTIFS('Clean'!$C$7:$C$126,$B8)</x:f>
        <x:v>60</x:v>
      </x:c>
      <x:c r="D8" s="14" t="n">
        <x:f>SUMIFS('Clean'!$J$7:$J$126,'Clean'!$C$7:$C$126,$B8)</x:f>
        <x:v>22000000</x:v>
      </x:c>
      <x:c r="E8" s="14" t="n">
        <x:f>SUMIFS('Clean'!$K$7:$K$126,'Clean'!$C$7:$C$126,$B8)</x:f>
        <x:v>5000000</x:v>
      </x:c>
      <x:c r="F8" s="14" t="n">
        <x:f>SUMIFS('Clean'!$R$7:$R$126,'Clean'!$C$7:$C$126,$B8)</x:f>
        <x:v>27000000</x:v>
      </x:c>
      <x:c r="G8" s="14" t="n">
        <x:f>SUMIFS('Clean'!$I$7:$I$126,'Clean'!$C$7:$C$126,$B8)</x:f>
        <x:v>600</x:v>
      </x:c>
      <x:c r="H8" s="25" t="n">
        <x:f>SUMIFS('Clean'!$S$7:$S$126,'Clean'!$C$7:$C$126,$B8)</x:f>
        <x:v>279.99999999999994</x:v>
      </x:c>
      <x:c r="I8" s="25" t="n">
        <x:f>SUMIFS('Clean'!$T$7:$T$126,'Clean'!$C$7:$C$126,$B8)</x:f>
        <x:v>219.99999999999997</x:v>
      </x:c>
      <x:c r="J8" s="25" t="n">
        <x:f>SUMIFS('Clean'!$U$7:$U$126,'Clean'!$C$7:$C$126,$B8)</x:f>
        <x:v>500.0000000000001</x:v>
      </x:c>
      <x:c r="K8" s="15" t="n">
        <x:f>SUMIFS('Clean'!$N$7:$N$126,'Clean'!$C$7:$C$126,$B8)</x:f>
        <x:v>240</x:v>
      </x:c>
      <x:c r="L8" s="15" t="n">
        <x:f>SUMIFS('Clean'!$O$7:$O$126,'Clean'!$C$7:$C$126,$B8)</x:f>
        <x:v>140</x:v>
      </x:c>
      <x:c r="M8" s="15" t="n">
        <x:f>SUMIFS('Clean'!$V$7:$V$126,'Clean'!$C$7:$C$126,$B8)</x:f>
        <x:v>100</x:v>
      </x:c>
      <x:c r="N8" s="25" t="n">
        <x:f>SUMIFS('Clean'!$W$7:$W$126,'Clean'!$C$7:$C$126,$B8)</x:f>
        <x:v>5000</x:v>
      </x:c>
      <x:c r="O8" s="25" t="n">
        <x:f>SUMIFS('Clean'!$X$7:$X$126,'Clean'!$C$7:$C$126,$B8)</x:f>
        <x:v>4500.000000000001</x:v>
      </x:c>
      <x:c r="P8" s="28" t="n">
        <x:f>IF(J8=0,"N/A",O8/J8)</x:f>
        <x:v>9</x:v>
      </x:c>
      <x:c r="Q8" s="15" t="n">
        <x:f>SUMIFS('Clean'!$P$7:$P$126,'Clean'!$C$7:$C$126,$B8)</x:f>
        <x:v>10.739999999999998</x:v>
      </x:c>
      <x:c r="R8" s="28" t="n">
        <x:f>IF(L8=0,"N/A",Q8/L8)</x:f>
        <x:v>0.07671428571428571</x:v>
      </x:c>
    </x:row>
    <x:row r="9" ht="23" customHeight="1">
      <x:c r="A9" s="3"/>
      <x:c r="B9" s="3" t="str">
        <x:v>Campaign 2</x:v>
      </x:c>
      <x:c r="C9" s="14" t="n">
        <x:f>COUNTIFS('Clean'!$C$7:$C$126,$B9)</x:f>
        <x:v>60</x:v>
      </x:c>
      <x:c r="D9" s="14" t="n">
        <x:f>SUMIFS('Clean'!$J$7:$J$126,'Clean'!$C$7:$C$126,$B9)</x:f>
        <x:v>32000000</x:v>
      </x:c>
      <x:c r="E9" s="14" t="n">
        <x:f>SUMIFS('Clean'!$K$7:$K$126,'Clean'!$C$7:$C$126,$B9)</x:f>
        <x:v>10000000</x:v>
      </x:c>
      <x:c r="F9" s="14" t="n">
        <x:f>SUMIFS('Clean'!$R$7:$R$126,'Clean'!$C$7:$C$126,$B9)</x:f>
        <x:v>42000000</x:v>
      </x:c>
      <x:c r="G9" s="14" t="n">
        <x:f>SUMIFS('Clean'!$I$7:$I$126,'Clean'!$C$7:$C$126,$B9)</x:f>
        <x:v>1200</x:v>
      </x:c>
      <x:c r="H9" s="25" t="n">
        <x:f>SUMIFS('Clean'!$S$7:$S$126,'Clean'!$C$7:$C$126,$B9)</x:f>
        <x:v>679.9999999999998</x:v>
      </x:c>
      <x:c r="I9" s="25" t="n">
        <x:f>SUMIFS('Clean'!$T$7:$T$126,'Clean'!$C$7:$C$126,$B9)</x:f>
        <x:v>720.0000000000001</x:v>
      </x:c>
      <x:c r="J9" s="25" t="n">
        <x:f>SUMIFS('Clean'!$U$7:$U$126,'Clean'!$C$7:$C$126,$B9)</x:f>
        <x:v>1400</x:v>
      </x:c>
      <x:c r="K9" s="15" t="n">
        <x:f>SUMIFS('Clean'!$N$7:$N$126,'Clean'!$C$7:$C$126,$B9)</x:f>
        <x:v>200</x:v>
      </x:c>
      <x:c r="L9" s="15" t="n">
        <x:f>SUMIFS('Clean'!$O$7:$O$126,'Clean'!$C$7:$C$126,$B9)</x:f>
        <x:v>270</x:v>
      </x:c>
      <x:c r="M9" s="15" t="n">
        <x:f>SUMIFS('Clean'!$V$7:$V$126,'Clean'!$C$7:$C$126,$B9)</x:f>
        <x:v>-69.99999999999997</x:v>
      </x:c>
      <x:c r="N9" s="25" t="n">
        <x:f>SUMIFS('Clean'!$W$7:$W$126,'Clean'!$C$7:$C$126,$B9)</x:f>
        <x:v>-3500</x:v>
      </x:c>
      <x:c r="O9" s="25" t="n">
        <x:f>SUMIFS('Clean'!$X$7:$X$126,'Clean'!$C$7:$C$126,$B9)</x:f>
        <x:v>-4899.999999999999</x:v>
      </x:c>
      <x:c r="P9" s="28" t="n">
        <x:f>IF(J9=0,"N/A",O9/J9)</x:f>
        <x:v>-3.4999999999999996</x:v>
      </x:c>
      <x:c r="Q9" s="15" t="n">
        <x:f>SUMIFS('Clean'!$P$7:$P$126,'Clean'!$C$7:$C$126,$B9)</x:f>
        <x:v>87.81999999999998</x:v>
      </x:c>
      <x:c r="R9" s="28" t="n">
        <x:f>IF(L9=0,"N/A",Q9/L9)</x:f>
        <x:v>0.3252592592592592</x:v>
      </x:c>
    </x:row>
    <x:row r="10" ht="23" customHeight="1">
      <x:c r="A10" s="3"/>
      <x:c r="B10" s="39" t="str">
        <x:v>Total</x:v>
      </x:c>
      <x:c r="C10" s="40" t="n">
        <x:f>SUM(C8:C9)</x:f>
        <x:v>120</x:v>
      </x:c>
      <x:c r="D10" s="40" t="n">
        <x:f>SUM(D8:D9)</x:f>
        <x:v>54000000</x:v>
      </x:c>
      <x:c r="E10" s="40" t="n">
        <x:f>SUM(E8:E9)</x:f>
        <x:v>15000000</x:v>
      </x:c>
      <x:c r="F10" s="40" t="n">
        <x:f>SUM(F8:F9)</x:f>
        <x:v>69000000</x:v>
      </x:c>
      <x:c r="G10" s="40" t="n">
        <x:f>SUM(G8:G9)</x:f>
        <x:v>1800</x:v>
      </x:c>
      <x:c r="H10" s="41" t="n">
        <x:f>SUM(H8:H9)</x:f>
        <x:v>959.9999999999998</x:v>
      </x:c>
      <x:c r="I10" s="41" t="n">
        <x:f>SUM(I8:I9)</x:f>
        <x:v>940.0000000000001</x:v>
      </x:c>
      <x:c r="J10" s="41" t="n">
        <x:f>SUM(J8:J9)</x:f>
        <x:v>1900</x:v>
      </x:c>
      <x:c r="K10" s="42" t="n">
        <x:f>SUM(K8:K9)</x:f>
        <x:v>440</x:v>
      </x:c>
      <x:c r="L10" s="42" t="n">
        <x:f>SUM(L8:L9)</x:f>
        <x:v>410</x:v>
      </x:c>
      <x:c r="M10" s="42" t="n">
        <x:f>SUM(M8:M9)</x:f>
        <x:v>30.00000000000003</x:v>
      </x:c>
      <x:c r="N10" s="41" t="n">
        <x:f>SUM(N8:N9)</x:f>
        <x:v>1500</x:v>
      </x:c>
      <x:c r="O10" s="41" t="n">
        <x:f>SUM(O8:O9)</x:f>
        <x:v>-399.9999999999982</x:v>
      </x:c>
      <x:c r="P10" s="43" t="n">
        <x:f>IF(J10=0,"N/A",O10/J10)</x:f>
        <x:v>-0.21052631578947273</x:v>
      </x:c>
      <x:c r="Q10" s="42" t="n">
        <x:f>SUM(Q8:Q9)</x:f>
        <x:v>98.55999999999997</x:v>
      </x:c>
      <x:c r="R10" s="43" t="n">
        <x:f>IF(L10=0,"N/A",Q10/L10)</x:f>
        <x:v>0.24039024390243896</x:v>
      </x:c>
    </x:row>
    <x:row r="11" ht="23" customHeight="1">
      <x:c r="A11" s="3"/>
      <x:c r="B11" s="3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 ht="23" customHeight="1">
      <x:c r="A12" s="3"/>
      <x:c r="B12" s="3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</x:row>
    <x:row r="13" ht="23" customHeight="1">
      <x:c r="A13" s="3"/>
      <x:c r="B13" s="3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</x:row>
    <x:row r="14" ht="28" customHeight="1">
      <x:c r="A14" s="3"/>
      <x:c r="B14" s="27" t="str">
        <x:v>Department comparison</x:v>
      </x:c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</x:row>
    <x:row r="15" ht="35" customHeight="1">
      <x:c r="A15" s="3"/>
      <x:c r="B15" s="8" t="str">
        <x:v>Department</x:v>
      </x:c>
      <x:c r="C15" s="9" t="str">
        <x:v>AI cost (USD)</x:v>
      </x:c>
      <x:c r="D15" s="9" t="str">
        <x:v>Net AI value (USD)</x:v>
      </x:c>
      <x:c r="E15" s="10" t="str">
        <x:v>Hours saved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</x:row>
    <x:row r="16" ht="23" customHeight="1">
      <x:c r="A16" s="3"/>
      <x:c r="B16" s="3" t="str">
        <x:v>Analytics</x:v>
      </x:c>
      <x:c r="C16" s="25" t="n">
        <x:f>SUMIFS('Clean'!$U$7:$U$126,'Clean'!$D$7:$D$126,$B16)</x:f>
        <x:v>460.53882</x:v>
      </x:c>
      <x:c r="D16" s="25" t="n">
        <x:f>SUMIFS('Clean'!$X$7:$X$126,'Clean'!$D$7:$D$126,$B16)</x:f>
        <x:v>-432.03881999999993</x:v>
      </x:c>
      <x:c r="E16" s="15" t="n">
        <x:f>SUMIFS('Clean'!$V$7:$V$126,'Clean'!$D$7:$D$126,$B16)</x:f>
        <x:v>0.5699999999999994</x:v>
      </x:c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</x:row>
    <x:row r="17" ht="23" customHeight="1">
      <x:c r="A17" s="3"/>
      <x:c r="B17" s="3" t="str">
        <x:v>Content</x:v>
      </x:c>
      <x:c r="C17" s="25" t="n">
        <x:f>SUMIFS('Clean'!$U$7:$U$126,'Clean'!$D$7:$D$126,$B17)</x:f>
        <x:v>448.13471</x:v>
      </x:c>
      <x:c r="D17" s="25" t="n">
        <x:f>SUMIFS('Clean'!$X$7:$X$126,'Clean'!$D$7:$D$126,$B17)</x:f>
        <x:v>-148.1347100000002</x:v>
      </x:c>
      <x:c r="E17" s="15" t="n">
        <x:f>SUMIFS('Clean'!$V$7:$V$126,'Clean'!$D$7:$D$126,$B17)</x:f>
        <x:v>5.999999999999996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</x:row>
    <x:row r="18" ht="23" customHeight="1">
      <x:c r="A18" s="3"/>
      <x:c r="B18" s="3" t="str">
        <x:v>Creative</x:v>
      </x:c>
      <x:c r="C18" s="25" t="n">
        <x:f>SUMIFS('Clean'!$U$7:$U$126,'Clean'!$D$7:$D$126,$B18)</x:f>
        <x:v>498.36582999999996</x:v>
      </x:c>
      <x:c r="D18" s="25" t="n">
        <x:f>SUMIFS('Clean'!$X$7:$X$126,'Clean'!$D$7:$D$126,$B18)</x:f>
        <x:v>381.63417000000027</x:v>
      </x:c>
      <x:c r="E18" s="15" t="n">
        <x:f>SUMIFS('Clean'!$V$7:$V$126,'Clean'!$D$7:$D$126,$B18)</x:f>
        <x:v>17.600000000000005</x:v>
      </x:c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</x:row>
    <x:row r="19" ht="23" customHeight="1">
      <x:c r="A19" s="3"/>
      <x:c r="B19" s="3" t="str">
        <x:v>Marketing Operations</x:v>
      </x:c>
      <x:c r="C19" s="25" t="n">
        <x:f>SUMIFS('Clean'!$U$7:$U$126,'Clean'!$D$7:$D$126,$B19)</x:f>
        <x:v>492.96064</x:v>
      </x:c>
      <x:c r="D19" s="25" t="n">
        <x:f>SUMIFS('Clean'!$X$7:$X$126,'Clean'!$D$7:$D$126,$B19)</x:f>
        <x:v>-201.46063999999993</x:v>
      </x:c>
      <x:c r="E19" s="15" t="n">
        <x:f>SUMIFS('Clean'!$V$7:$V$126,'Clean'!$D$7:$D$126,$B19)</x:f>
        <x:v>5.829999999999997</x:v>
      </x:c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</x:row>
    <x:row r="20" ht="23" customHeight="1">
      <x:c r="A20" s="3"/>
      <x:c r="B20" s="39" t="str">
        <x:v>Total</x:v>
      </x:c>
      <x:c r="C20" s="41" t="n">
        <x:f>SUM(C16:C19)</x:f>
        <x:v>1900</x:v>
      </x:c>
      <x:c r="D20" s="41" t="n">
        <x:f>SUM(D16:D19)</x:f>
        <x:v>-399.9999999999998</x:v>
      </x:c>
      <x:c r="E20" s="42" t="n">
        <x:f>SUM(E16:E19)</x:f>
        <x:v>30</x:v>
      </x:c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</x:row>
    <x:row r="21" ht="23" customHeight="1">
      <x:c r="A21" s="3"/>
      <x:c r="B21" s="3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</x:row>
    <x:row r="22" ht="23" customHeight="1">
      <x:c r="A22" s="3"/>
      <x:c r="B22" s="3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</x:row>
    <x:row r="23" ht="23" customHeight="1">
      <x:c r="A23" s="3"/>
      <x:c r="B23" s="3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</x:row>
    <x:row r="24" ht="28" customHeight="1">
      <x:c r="A24" s="3"/>
      <x:c r="B24" s="27" t="str">
        <x:v>Recorded issues by task</x:v>
      </x:c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</x:row>
    <x:row r="25" ht="35" customHeight="1">
      <x:c r="A25" s="3"/>
      <x:c r="B25" s="8" t="str">
        <x:v>Issue</x:v>
      </x:c>
      <x:c r="C25" s="9" t="str">
        <x:v>Campaign 1</x:v>
      </x:c>
      <x:c r="D25" s="9" t="str">
        <x:v>Campaign 2</x:v>
      </x:c>
      <x:c r="E25" s="10" t="str">
        <x:v>Total tasks</x:v>
      </x:c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</x:row>
    <x:row r="26" ht="23" customHeight="1">
      <x:c r="A26" s="3"/>
      <x:c r="B26" s="3" t="str">
        <x:v>Brief changed</x:v>
      </x:c>
      <x:c r="C26" s="14" t="n">
        <x:f>COUNTIFS('Clean'!$Q$7:$Q$126,$B26,'Clean'!$C$7:$C$126,C$25)</x:f>
        <x:v>10</x:v>
      </x:c>
      <x:c r="D26" s="14" t="n">
        <x:f>COUNTIFS('Clean'!$Q$7:$Q$126,$B26,'Clean'!$C$7:$C$126,D$25)</x:f>
        <x:v>27</x:v>
      </x:c>
      <x:c r="E26" s="14" t="n">
        <x:f>SUM(C26:D26)</x:f>
        <x:v>37</x:v>
      </x:c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</x:row>
    <x:row r="27" ht="23" customHeight="1">
      <x:c r="A27" s="3"/>
      <x:c r="B27" s="3" t="str">
        <x:v>Data problem</x:v>
      </x:c>
      <x:c r="C27" s="14" t="n">
        <x:f>COUNTIFS('Clean'!$Q$7:$Q$126,$B27,'Clean'!$C$7:$C$126,C$25)</x:f>
        <x:v>9</x:v>
      </x:c>
      <x:c r="D27" s="14" t="n">
        <x:f>COUNTIFS('Clean'!$Q$7:$Q$126,$B27,'Clean'!$C$7:$C$126,D$25)</x:f>
        <x:v>13</x:v>
      </x:c>
      <x:c r="E27" s="14" t="n">
        <x:f>SUM(C27:D27)</x:f>
        <x:v>22</x:v>
      </x:c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</x:row>
    <x:row r="28" ht="23" customHeight="1">
      <x:c r="A28" s="3"/>
      <x:c r="B28" s="3" t="str">
        <x:v>Unclear prompt</x:v>
      </x:c>
      <x:c r="C28" s="14" t="n">
        <x:f>COUNTIFS('Clean'!$Q$7:$Q$126,$B28,'Clean'!$C$7:$C$126,C$25)</x:f>
        <x:v>9</x:v>
      </x:c>
      <x:c r="D28" s="14" t="n">
        <x:f>COUNTIFS('Clean'!$Q$7:$Q$126,$B28,'Clean'!$C$7:$C$126,D$25)</x:f>
        <x:v>10</x:v>
      </x:c>
      <x:c r="E28" s="14" t="n">
        <x:f>SUM(C28:D28)</x:f>
        <x:v>19</x:v>
      </x:c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</x:row>
    <x:row r="29" ht="23" customHeight="1">
      <x:c r="A29" s="3"/>
      <x:c r="B29" s="3" t="str">
        <x:v>None</x:v>
      </x:c>
      <x:c r="C29" s="14" t="n">
        <x:f>COUNTIFS('Clean'!$Q$7:$Q$126,$B29,'Clean'!$C$7:$C$126,C$25)</x:f>
        <x:v>32</x:v>
      </x:c>
      <x:c r="D29" s="14" t="n">
        <x:f>COUNTIFS('Clean'!$Q$7:$Q$126,$B29,'Clean'!$C$7:$C$126,D$25)</x:f>
        <x:v>10</x:v>
      </x:c>
      <x:c r="E29" s="14" t="n">
        <x:f>SUM(C29:D29)</x:f>
        <x:v>42</x:v>
      </x:c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</x:row>
    <x:row r="30" ht="23" customHeight="1">
      <x:c r="A30" s="3"/>
      <x:c r="B30" s="39" t="str">
        <x:v>Total</x:v>
      </x:c>
      <x:c r="C30" s="40" t="n">
        <x:f>SUM(C26:C29)</x:f>
        <x:v>60</x:v>
      </x:c>
      <x:c r="D30" s="40" t="n">
        <x:f>SUM(D26:D29)</x:f>
        <x:v>60</x:v>
      </x:c>
      <x:c r="E30" s="40" t="n">
        <x:f>SUM(E26:E29)</x:f>
        <x:v>120</x:v>
      </x:c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3" customHeight="1">
      <x:c r="A32" s="3"/>
      <x:c r="B32" s="3" t="str">
        <x:v>One primary issue per task. None means no recorded issue; it is not a problem category.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3" customHeight="1">
      <x:c r="A33" s="3"/>
      <x:c r="B33" s="3" t="str">
        <x:v>Rework is a subset of actual hours. Revenue and whole-campaign profit are not supplied in the quick track.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</x:sheetData>
  <x:conditionalFormatting sqref="M8:P10">
    <x:cfRule type="cellIs" dxfId="2" priority="1" operator="lessThan">
      <x:formula>0</x:formula>
    </x:cfRule>
    <x:cfRule type="cellIs" dxfId="3" priority="2" operator="greaterThan">
      <x:formula>0</x:formula>
    </x:cfRule>
  </x:conditionalFormatting>
  <x:conditionalFormatting sqref="D16:E20">
    <x:cfRule type="cellIs" dxfId="4" priority="3" operator="lessThan">
      <x:formula>0</x:formula>
    </x:cfRule>
    <x:cfRule type="cellIs" dxfId="5" priority="4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C7F9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1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9" customHeight="1">
      <x:c r="A2" s="17" t="str">
        <x:v>Clean tasks and calculations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3" t="str">
        <x:v>USD / staff hour</x:v>
      </x:c>
      <x:c r="B3" s="20" t="n">
        <x:v>50</x:v>
      </x:c>
      <x:c r="C3" s="3"/>
      <x:c r="D3" s="3" t="str">
        <x:v>The supplied assumption is $50/hour. Revisit the written recommendation if you change inputs.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23" customHeight="1">
      <x:c r="A4" s="18" t="str">
        <x:v>Cleaning: 122 raw rows, 120 unique tasks. Removed repeated IDs W0018 and W0087. Trimmed and standardized department labels.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23" customHeight="1">
      <x:c r="A5" s="18" t="str">
        <x:v>Source fields A–Q are the cleaned snapshot. Formula columns R–X show each calculation. Rework is already part of actual hours.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</x:row>
    <x:row r="6" ht="43" customHeight="1">
      <x:c r="A6" s="8" t="str">
        <x:v>work_item_id</x:v>
      </x:c>
      <x:c r="B6" s="9" t="str">
        <x:v>completion_date</x:v>
      </x:c>
      <x:c r="C6" s="9" t="str">
        <x:v>campaign</x:v>
      </x:c>
      <x:c r="D6" s="9" t="str">
        <x:v>department</x:v>
      </x:c>
      <x:c r="E6" s="9" t="str">
        <x:v>employee</x:v>
      </x:c>
      <x:c r="F6" s="9" t="str">
        <x:v>product</x:v>
      </x:c>
      <x:c r="G6" s="9" t="str">
        <x:v>model</x:v>
      </x:c>
      <x:c r="H6" s="9" t="str">
        <x:v>task_type</x:v>
      </x:c>
      <x:c r="I6" s="9" t="str">
        <x:v>prompt_count</x:v>
      </x:c>
      <x:c r="J6" s="9" t="str">
        <x:v>input_tokens</x:v>
      </x:c>
      <x:c r="K6" s="9" t="str">
        <x:v>output_tokens</x:v>
      </x:c>
      <x:c r="L6" s="9" t="str">
        <x:v>input_rate_usd_per_million</x:v>
      </x:c>
      <x:c r="M6" s="9" t="str">
        <x:v>output_rate_usd_per_million</x:v>
      </x:c>
      <x:c r="N6" s="9" t="str">
        <x:v>baseline_hours</x:v>
      </x:c>
      <x:c r="O6" s="9" t="str">
        <x:v>actual_hours</x:v>
      </x:c>
      <x:c r="P6" s="9" t="str">
        <x:v>rework_hours</x:v>
      </x:c>
      <x:c r="Q6" s="9" t="str">
        <x:v>issue_tag</x:v>
      </x:c>
      <x:c r="R6" s="9" t="str">
        <x:v>total_tokens</x:v>
      </x:c>
      <x:c r="S6" s="9" t="str">
        <x:v>input_cost_usd</x:v>
      </x:c>
      <x:c r="T6" s="9" t="str">
        <x:v>output_cost_usd</x:v>
      </x:c>
      <x:c r="U6" s="9" t="str">
        <x:v>ai_cost_usd</x:v>
      </x:c>
      <x:c r="V6" s="9" t="str">
        <x:v>hours_saved</x:v>
      </x:c>
      <x:c r="W6" s="9" t="str">
        <x:v>time_value_usd</x:v>
      </x:c>
      <x:c r="X6" s="10" t="str">
        <x:v>net_ai_value_usd</x:v>
      </x:c>
    </x:row>
    <x:row r="7" ht="23" customHeight="1">
      <x:c r="A7" s="21" t="str">
        <x:v>W0001</x:v>
      </x:c>
      <x:c r="B7" s="22" t="n">
        <x:v>46275</x:v>
      </x:c>
      <x:c r="C7" s="21" t="str">
        <x:v>Campaign 1</x:v>
      </x:c>
      <x:c r="D7" s="21" t="str">
        <x:v>Content</x:v>
      </x:c>
      <x:c r="E7" s="21" t="str">
        <x:v>Avery Morgan</x:v>
      </x:c>
      <x:c r="F7" s="21" t="str">
        <x:v>CopyStudio</x:v>
      </x:c>
      <x:c r="G7" s="21" t="str">
        <x:v>Pro</x:v>
      </x:c>
      <x:c r="H7" s="21" t="str">
        <x:v>Write ad copy</x:v>
      </x:c>
      <x:c r="I7" s="23" t="n">
        <x:v>12</x:v>
      </x:c>
      <x:c r="J7" s="23" t="n">
        <x:v>258261</x:v>
      </x:c>
      <x:c r="K7" s="23" t="n">
        <x:v>113210</x:v>
      </x:c>
      <x:c r="L7" s="23" t="n">
        <x:v>40</x:v>
      </x:c>
      <x:c r="M7" s="23" t="n">
        <x:v>100</x:v>
      </x:c>
      <x:c r="N7" s="24" t="n">
        <x:v>4.57</x:v>
      </x:c>
      <x:c r="O7" s="24" t="n">
        <x:v>4.75</x:v>
      </x:c>
      <x:c r="P7" s="24" t="n">
        <x:v>0.65</x:v>
      </x:c>
      <x:c r="Q7" s="21" t="str">
        <x:v>Data problem</x:v>
      </x:c>
      <x:c r="R7" s="14" t="n">
        <x:f>J7+K7</x:f>
        <x:v>371471</x:v>
      </x:c>
      <x:c r="S7" s="25" t="n">
        <x:f>J7*L7/1000000</x:f>
        <x:v>10.33044</x:v>
      </x:c>
      <x:c r="T7" s="25" t="n">
        <x:f>K7*M7/1000000</x:f>
        <x:v>11.321</x:v>
      </x:c>
      <x:c r="U7" s="25" t="n">
        <x:f>SUM(S7:T7)</x:f>
        <x:v>21.65144</x:v>
      </x:c>
      <x:c r="V7" s="15" t="n">
        <x:f>N7-O7</x:f>
        <x:v>-0.17999999999999972</x:v>
      </x:c>
      <x:c r="W7" s="25" t="n">
        <x:f>V7*$B$3</x:f>
        <x:v>-8.999999999999986</x:v>
      </x:c>
      <x:c r="X7" s="25" t="n">
        <x:f>W7-U7</x:f>
        <x:v>-30.651439999999987</x:v>
      </x:c>
    </x:row>
    <x:row r="8" ht="23" customHeight="1">
      <x:c r="A8" s="21" t="str">
        <x:v>W0002</x:v>
      </x:c>
      <x:c r="B8" s="22" t="n">
        <x:v>46286</x:v>
      </x:c>
      <x:c r="C8" s="21" t="str">
        <x:v>Campaign 1</x:v>
      </x:c>
      <x:c r="D8" s="21" t="str">
        <x:v>Content</x:v>
      </x:c>
      <x:c r="E8" s="21" t="str">
        <x:v>Jordan Ellis</x:v>
      </x:c>
      <x:c r="F8" s="21" t="str">
        <x:v>CopyStudio</x:v>
      </x:c>
      <x:c r="G8" s="21" t="str">
        <x:v>Lite</x:v>
      </x:c>
      <x:c r="H8" s="21" t="str">
        <x:v>Draft email sequence</x:v>
      </x:c>
      <x:c r="I8" s="23" t="n">
        <x:v>11</x:v>
      </x:c>
      <x:c r="J8" s="23" t="n">
        <x:v>539899</x:v>
      </x:c>
      <x:c r="K8" s="23" t="n">
        <x:v>94901</x:v>
      </x:c>
      <x:c r="L8" s="23" t="n">
        <x:v>10</x:v>
      </x:c>
      <x:c r="M8" s="23" t="n">
        <x:v>30</x:v>
      </x:c>
      <x:c r="N8" s="24" t="n">
        <x:v>4.11</x:v>
      </x:c>
      <x:c r="O8" s="24" t="n">
        <x:v>4.62</x:v>
      </x:c>
      <x:c r="P8" s="24" t="n">
        <x:v>0.33</x:v>
      </x:c>
      <x:c r="Q8" s="21" t="str">
        <x:v>Unclear prompt</x:v>
      </x:c>
      <x:c r="R8" s="14" t="n">
        <x:f>J8+K8</x:f>
        <x:v>634800</x:v>
      </x:c>
      <x:c r="S8" s="25" t="n">
        <x:f>J8*L8/1000000</x:f>
        <x:v>5.39899</x:v>
      </x:c>
      <x:c r="T8" s="25" t="n">
        <x:f>K8*M8/1000000</x:f>
        <x:v>2.84703</x:v>
      </x:c>
      <x:c r="U8" s="25" t="n">
        <x:f>SUM(S8:T8)</x:f>
        <x:v>8.246020000000001</x:v>
      </x:c>
      <x:c r="V8" s="15" t="n">
        <x:f>N8-O8</x:f>
        <x:v>-0.5099999999999998</x:v>
      </x:c>
      <x:c r="W8" s="25" t="n">
        <x:f>V8*$B$3</x:f>
        <x:v>-25.49999999999999</x:v>
      </x:c>
      <x:c r="X8" s="25" t="n">
        <x:f>W8-U8</x:f>
        <x:v>-33.74601999999999</x:v>
      </x:c>
    </x:row>
    <x:row r="9" ht="23" customHeight="1">
      <x:c r="A9" s="21" t="str">
        <x:v>W0003</x:v>
      </x:c>
      <x:c r="B9" s="22" t="n">
        <x:v>46295</x:v>
      </x:c>
      <x:c r="C9" s="21" t="str">
        <x:v>Campaign 1</x:v>
      </x:c>
      <x:c r="D9" s="21" t="str">
        <x:v>Creative</x:v>
      </x:c>
      <x:c r="E9" s="21" t="str">
        <x:v>Riley Chen</x:v>
      </x:c>
      <x:c r="F9" s="21" t="str">
        <x:v>CampaignChat</x:v>
      </x:c>
      <x:c r="G9" s="21" t="str">
        <x:v>Lite</x:v>
      </x:c>
      <x:c r="H9" s="21" t="str">
        <x:v>Plan visual narrative</x:v>
      </x:c>
      <x:c r="I9" s="23" t="n">
        <x:v>12</x:v>
      </x:c>
      <x:c r="J9" s="23" t="n">
        <x:v>294521</x:v>
      </x:c>
      <x:c r="K9" s="23" t="n">
        <x:v>128067</x:v>
      </x:c>
      <x:c r="L9" s="23" t="n">
        <x:v>10</x:v>
      </x:c>
      <x:c r="M9" s="23" t="n">
        <x:v>30</x:v>
      </x:c>
      <x:c r="N9" s="24" t="n">
        <x:v>2.76</x:v>
      </x:c>
      <x:c r="O9" s="24" t="n">
        <x:v>2.95</x:v>
      </x:c>
      <x:c r="P9" s="24" t="n">
        <x:v>0.39</x:v>
      </x:c>
      <x:c r="Q9" s="21" t="str">
        <x:v>Brief changed</x:v>
      </x:c>
      <x:c r="R9" s="14" t="n">
        <x:f>J9+K9</x:f>
        <x:v>422588</x:v>
      </x:c>
      <x:c r="S9" s="25" t="n">
        <x:f>J9*L9/1000000</x:f>
        <x:v>2.94521</x:v>
      </x:c>
      <x:c r="T9" s="25" t="n">
        <x:f>K9*M9/1000000</x:f>
        <x:v>3.84201</x:v>
      </x:c>
      <x:c r="U9" s="25" t="n">
        <x:f>SUM(S9:T9)</x:f>
        <x:v>6.78722</x:v>
      </x:c>
      <x:c r="V9" s="15" t="n">
        <x:f>N9-O9</x:f>
        <x:v>-0.1900000000000004</x:v>
      </x:c>
      <x:c r="W9" s="25" t="n">
        <x:f>V9*$B$3</x:f>
        <x:v>-9.50000000000002</x:v>
      </x:c>
      <x:c r="X9" s="25" t="n">
        <x:f>W9-U9</x:f>
        <x:v>-16.28722000000002</x:v>
      </x:c>
    </x:row>
    <x:row r="10" ht="23" customHeight="1">
      <x:c r="A10" s="21" t="str">
        <x:v>W0004</x:v>
      </x:c>
      <x:c r="B10" s="22" t="n">
        <x:v>46280</x:v>
      </x:c>
      <x:c r="C10" s="21" t="str">
        <x:v>Campaign 1</x:v>
      </x:c>
      <x:c r="D10" s="21" t="str">
        <x:v>Creative</x:v>
      </x:c>
      <x:c r="E10" s="21" t="str">
        <x:v>Taylor Brooks</x:v>
      </x:c>
      <x:c r="F10" s="21" t="str">
        <x:v>InsightDesk</x:v>
      </x:c>
      <x:c r="G10" s="21" t="str">
        <x:v>Pro</x:v>
      </x:c>
      <x:c r="H10" s="21" t="str">
        <x:v>Develop concept brief</x:v>
      </x:c>
      <x:c r="I10" s="23" t="n">
        <x:v>9</x:v>
      </x:c>
      <x:c r="J10" s="23" t="n">
        <x:v>157768</x:v>
      </x:c>
      <x:c r="K10" s="23" t="n">
        <x:v>70853</x:v>
      </x:c>
      <x:c r="L10" s="23" t="n">
        <x:v>40</x:v>
      </x:c>
      <x:c r="M10" s="23" t="n">
        <x:v>100</x:v>
      </x:c>
      <x:c r="N10" s="24" t="n">
        <x:v>3.13</x:v>
      </x:c>
      <x:c r="O10" s="24" t="n">
        <x:v>4.19</x:v>
      </x:c>
      <x:c r="P10" s="24" t="n">
        <x:v>0.31</x:v>
      </x:c>
      <x:c r="Q10" s="21" t="str">
        <x:v>None</x:v>
      </x:c>
      <x:c r="R10" s="14" t="n">
        <x:f>J10+K10</x:f>
        <x:v>228621</x:v>
      </x:c>
      <x:c r="S10" s="25" t="n">
        <x:f>J10*L10/1000000</x:f>
        <x:v>6.31072</x:v>
      </x:c>
      <x:c r="T10" s="25" t="n">
        <x:f>K10*M10/1000000</x:f>
        <x:v>7.0853</x:v>
      </x:c>
      <x:c r="U10" s="25" t="n">
        <x:f>SUM(S10:T10)</x:f>
        <x:v>13.39602</x:v>
      </x:c>
      <x:c r="V10" s="15" t="n">
        <x:f>N10-O10</x:f>
        <x:v>-1.0600000000000005</x:v>
      </x:c>
      <x:c r="W10" s="25" t="n">
        <x:f>V10*$B$3</x:f>
        <x:v>-53.00000000000003</x:v>
      </x:c>
      <x:c r="X10" s="25" t="n">
        <x:f>W10-U10</x:f>
        <x:v>-66.39602000000002</x:v>
      </x:c>
    </x:row>
    <x:row r="11" ht="23" customHeight="1">
      <x:c r="A11" s="21" t="str">
        <x:v>W0005</x:v>
      </x:c>
      <x:c r="B11" s="22" t="n">
        <x:v>46289</x:v>
      </x:c>
      <x:c r="C11" s="21" t="str">
        <x:v>Campaign 1</x:v>
      </x:c>
      <x:c r="D11" s="21" t="str">
        <x:v>Marketing Operations</x:v>
      </x:c>
      <x:c r="E11" s="21" t="str">
        <x:v>Casey Rivera</x:v>
      </x:c>
      <x:c r="F11" s="21" t="str">
        <x:v>DataFlow</x:v>
      </x:c>
      <x:c r="G11" s="21" t="str">
        <x:v>Lite</x:v>
      </x:c>
      <x:c r="H11" s="21" t="str">
        <x:v>Clean audience data</x:v>
      </x:c>
      <x:c r="I11" s="23" t="n">
        <x:v>16</x:v>
      </x:c>
      <x:c r="J11" s="23" t="n">
        <x:v>772081</x:v>
      </x:c>
      <x:c r="K11" s="23" t="n">
        <x:v>111113</x:v>
      </x:c>
      <x:c r="L11" s="23" t="n">
        <x:v>10</x:v>
      </x:c>
      <x:c r="M11" s="23" t="n">
        <x:v>30</x:v>
      </x:c>
      <x:c r="N11" s="24" t="n">
        <x:v>4.36</x:v>
      </x:c>
      <x:c r="O11" s="24" t="n">
        <x:v>4.53</x:v>
      </x:c>
      <x:c r="P11" s="24" t="n">
        <x:v>0.65</x:v>
      </x:c>
      <x:c r="Q11" s="21" t="str">
        <x:v>Unclear prompt</x:v>
      </x:c>
      <x:c r="R11" s="14" t="n">
        <x:f>J11+K11</x:f>
        <x:v>883194</x:v>
      </x:c>
      <x:c r="S11" s="25" t="n">
        <x:f>J11*L11/1000000</x:f>
        <x:v>7.72081</x:v>
      </x:c>
      <x:c r="T11" s="25" t="n">
        <x:f>K11*M11/1000000</x:f>
        <x:v>3.33339</x:v>
      </x:c>
      <x:c r="U11" s="25" t="n">
        <x:f>SUM(S11:T11)</x:f>
        <x:v>11.0542</x:v>
      </x:c>
      <x:c r="V11" s="15" t="n">
        <x:f>N11-O11</x:f>
        <x:v>-0.16999999999999993</x:v>
      </x:c>
      <x:c r="W11" s="25" t="n">
        <x:f>V11*$B$3</x:f>
        <x:v>-8.499999999999996</x:v>
      </x:c>
      <x:c r="X11" s="25" t="n">
        <x:f>W11-U11</x:f>
        <x:v>-19.554199999999994</x:v>
      </x:c>
    </x:row>
    <x:row r="12" ht="23" customHeight="1">
      <x:c r="A12" s="21" t="str">
        <x:v>W0006</x:v>
      </x:c>
      <x:c r="B12" s="22" t="n">
        <x:v>46274</x:v>
      </x:c>
      <x:c r="C12" s="21" t="str">
        <x:v>Campaign 1</x:v>
      </x:c>
      <x:c r="D12" s="21" t="str">
        <x:v>Marketing Operations</x:v>
      </x:c>
      <x:c r="E12" s="21" t="str">
        <x:v>Morgan Reed</x:v>
      </x:c>
      <x:c r="F12" s="21" t="str">
        <x:v>DataFlow</x:v>
      </x:c>
      <x:c r="G12" s="21" t="str">
        <x:v>Lite</x:v>
      </x:c>
      <x:c r="H12" s="21" t="str">
        <x:v>Prepare launch checklist</x:v>
      </x:c>
      <x:c r="I12" s="23" t="n">
        <x:v>10</x:v>
      </x:c>
      <x:c r="J12" s="23" t="n">
        <x:v>561089</x:v>
      </x:c>
      <x:c r="K12" s="23" t="n">
        <x:v>114566</x:v>
      </x:c>
      <x:c r="L12" s="23" t="n">
        <x:v>10</x:v>
      </x:c>
      <x:c r="M12" s="23" t="n">
        <x:v>30</x:v>
      </x:c>
      <x:c r="N12" s="24" t="n">
        <x:v>4.89</x:v>
      </x:c>
      <x:c r="O12" s="24" t="n">
        <x:v>5.43</x:v>
      </x:c>
      <x:c r="P12" s="24" t="n">
        <x:v>0.44</x:v>
      </x:c>
      <x:c r="Q12" s="21" t="str">
        <x:v>Unclear prompt</x:v>
      </x:c>
      <x:c r="R12" s="14" t="n">
        <x:f>J12+K12</x:f>
        <x:v>675655</x:v>
      </x:c>
      <x:c r="S12" s="25" t="n">
        <x:f>J12*L12/1000000</x:f>
        <x:v>5.61089</x:v>
      </x:c>
      <x:c r="T12" s="25" t="n">
        <x:f>K12*M12/1000000</x:f>
        <x:v>3.43698</x:v>
      </x:c>
      <x:c r="U12" s="25" t="n">
        <x:f>SUM(S12:T12)</x:f>
        <x:v>9.04787</x:v>
      </x:c>
      <x:c r="V12" s="15" t="n">
        <x:f>N12-O12</x:f>
        <x:v>-0.54</x:v>
      </x:c>
      <x:c r="W12" s="25" t="n">
        <x:f>V12*$B$3</x:f>
        <x:v>-27</x:v>
      </x:c>
      <x:c r="X12" s="25" t="n">
        <x:f>W12-U12</x:f>
        <x:v>-36.04787</x:v>
      </x:c>
    </x:row>
    <x:row r="13" ht="23" customHeight="1">
      <x:c r="A13" s="21" t="str">
        <x:v>W0007</x:v>
      </x:c>
      <x:c r="B13" s="22" t="n">
        <x:v>46283</x:v>
      </x:c>
      <x:c r="C13" s="21" t="str">
        <x:v>Campaign 1</x:v>
      </x:c>
      <x:c r="D13" s="21" t="str">
        <x:v>Analytics</x:v>
      </x:c>
      <x:c r="E13" s="21" t="str">
        <x:v>Quinn Parker</x:v>
      </x:c>
      <x:c r="F13" s="21" t="str">
        <x:v>InsightDesk</x:v>
      </x:c>
      <x:c r="G13" s="21" t="str">
        <x:v>Lite</x:v>
      </x:c>
      <x:c r="H13" s="21" t="str">
        <x:v>Analyze campaign results</x:v>
      </x:c>
      <x:c r="I13" s="23" t="n">
        <x:v>15</x:v>
      </x:c>
      <x:c r="J13" s="23" t="n">
        <x:v>671183</x:v>
      </x:c>
      <x:c r="K13" s="23" t="n">
        <x:v>156442</x:v>
      </x:c>
      <x:c r="L13" s="23" t="n">
        <x:v>10</x:v>
      </x:c>
      <x:c r="M13" s="23" t="n">
        <x:v>30</x:v>
      </x:c>
      <x:c r="N13" s="24" t="n">
        <x:v>4.32</x:v>
      </x:c>
      <x:c r="O13" s="24" t="n">
        <x:v>5.21</x:v>
      </x:c>
      <x:c r="P13" s="24" t="n">
        <x:v>0.22</x:v>
      </x:c>
      <x:c r="Q13" s="21" t="str">
        <x:v>Data problem</x:v>
      </x:c>
      <x:c r="R13" s="14" t="n">
        <x:f>J13+K13</x:f>
        <x:v>827625</x:v>
      </x:c>
      <x:c r="S13" s="25" t="n">
        <x:f>J13*L13/1000000</x:f>
        <x:v>6.71183</x:v>
      </x:c>
      <x:c r="T13" s="25" t="n">
        <x:f>K13*M13/1000000</x:f>
        <x:v>4.69326</x:v>
      </x:c>
      <x:c r="U13" s="25" t="n">
        <x:f>SUM(S13:T13)</x:f>
        <x:v>11.405090000000001</x:v>
      </x:c>
      <x:c r="V13" s="15" t="n">
        <x:f>N13-O13</x:f>
        <x:v>-0.8899999999999997</x:v>
      </x:c>
      <x:c r="W13" s="25" t="n">
        <x:f>V13*$B$3</x:f>
        <x:v>-44.499999999999986</x:v>
      </x:c>
      <x:c r="X13" s="25" t="n">
        <x:f>W13-U13</x:f>
        <x:v>-55.90508999999999</x:v>
      </x:c>
    </x:row>
    <x:row r="14" ht="23" customHeight="1">
      <x:c r="A14" s="21" t="str">
        <x:v>W0008</x:v>
      </x:c>
      <x:c r="B14" s="22" t="n">
        <x:v>46294</x:v>
      </x:c>
      <x:c r="C14" s="21" t="str">
        <x:v>Campaign 1</x:v>
      </x:c>
      <x:c r="D14" s="21" t="str">
        <x:v>Analytics</x:v>
      </x:c>
      <x:c r="E14" s="21" t="str">
        <x:v>Jamie Patel</x:v>
      </x:c>
      <x:c r="F14" s="21" t="str">
        <x:v>InsightDesk</x:v>
      </x:c>
      <x:c r="G14" s="21" t="str">
        <x:v>Lite</x:v>
      </x:c>
      <x:c r="H14" s="21" t="str">
        <x:v>Summarize audience insights</x:v>
      </x:c>
      <x:c r="I14" s="23" t="n">
        <x:v>9</x:v>
      </x:c>
      <x:c r="J14" s="23" t="n">
        <x:v>458384</x:v>
      </x:c>
      <x:c r="K14" s="23" t="n">
        <x:v>93614</x:v>
      </x:c>
      <x:c r="L14" s="23" t="n">
        <x:v>10</x:v>
      </x:c>
      <x:c r="M14" s="23" t="n">
        <x:v>30</x:v>
      </x:c>
      <x:c r="N14" s="24" t="n">
        <x:v>4.64</x:v>
      </x:c>
      <x:c r="O14" s="24" t="n">
        <x:v>6.01</x:v>
      </x:c>
      <x:c r="P14" s="24" t="n">
        <x:v>0.25</x:v>
      </x:c>
      <x:c r="Q14" s="21" t="str">
        <x:v>Data problem</x:v>
      </x:c>
      <x:c r="R14" s="14" t="n">
        <x:f>J14+K14</x:f>
        <x:v>551998</x:v>
      </x:c>
      <x:c r="S14" s="25" t="n">
        <x:f>J14*L14/1000000</x:f>
        <x:v>4.58384</x:v>
      </x:c>
      <x:c r="T14" s="25" t="n">
        <x:f>K14*M14/1000000</x:f>
        <x:v>2.80842</x:v>
      </x:c>
      <x:c r="U14" s="25" t="n">
        <x:f>SUM(S14:T14)</x:f>
        <x:v>7.39226</x:v>
      </x:c>
      <x:c r="V14" s="15" t="n">
        <x:f>N14-O14</x:f>
        <x:v>-1.37</x:v>
      </x:c>
      <x:c r="W14" s="25" t="n">
        <x:f>V14*$B$3</x:f>
        <x:v>-68.5</x:v>
      </x:c>
      <x:c r="X14" s="25" t="n">
        <x:f>W14-U14</x:f>
        <x:v>-75.89226</x:v>
      </x:c>
    </x:row>
    <x:row r="15" ht="23" customHeight="1">
      <x:c r="A15" s="21" t="str">
        <x:v>W0009</x:v>
      </x:c>
      <x:c r="B15" s="22" t="n">
        <x:v>46279</x:v>
      </x:c>
      <x:c r="C15" s="21" t="str">
        <x:v>Campaign 1</x:v>
      </x:c>
      <x:c r="D15" s="21" t="str">
        <x:v>Content</x:v>
      </x:c>
      <x:c r="E15" s="21" t="str">
        <x:v>Avery Morgan</x:v>
      </x:c>
      <x:c r="F15" s="21" t="str">
        <x:v>CopyStudio</x:v>
      </x:c>
      <x:c r="G15" s="21" t="str">
        <x:v>Lite</x:v>
      </x:c>
      <x:c r="H15" s="21" t="str">
        <x:v>Edit landing page</x:v>
      </x:c>
      <x:c r="I15" s="23" t="n">
        <x:v>9</x:v>
      </x:c>
      <x:c r="J15" s="23" t="n">
        <x:v>435279</x:v>
      </x:c>
      <x:c r="K15" s="23" t="n">
        <x:v>85546</x:v>
      </x:c>
      <x:c r="L15" s="23" t="n">
        <x:v>10</x:v>
      </x:c>
      <x:c r="M15" s="23" t="n">
        <x:v>30</x:v>
      </x:c>
      <x:c r="N15" s="24" t="n">
        <x:v>4.69</x:v>
      </x:c>
      <x:c r="O15" s="24" t="n">
        <x:v>2.45</x:v>
      </x:c>
      <x:c r="P15" s="24" t="n">
        <x:v>0.11</x:v>
      </x:c>
      <x:c r="Q15" s="21" t="str">
        <x:v>None</x:v>
      </x:c>
      <x:c r="R15" s="14" t="n">
        <x:f>J15+K15</x:f>
        <x:v>520825</x:v>
      </x:c>
      <x:c r="S15" s="25" t="n">
        <x:f>J15*L15/1000000</x:f>
        <x:v>4.35279</x:v>
      </x:c>
      <x:c r="T15" s="25" t="n">
        <x:f>K15*M15/1000000</x:f>
        <x:v>2.56638</x:v>
      </x:c>
      <x:c r="U15" s="25" t="n">
        <x:f>SUM(S15:T15)</x:f>
        <x:v>6.919169999999999</x:v>
      </x:c>
      <x:c r="V15" s="15" t="n">
        <x:f>N15-O15</x:f>
        <x:v>2.24</x:v>
      </x:c>
      <x:c r="W15" s="25" t="n">
        <x:f>V15*$B$3</x:f>
        <x:v>112.00000000000001</x:v>
      </x:c>
      <x:c r="X15" s="25" t="n">
        <x:f>W15-U15</x:f>
        <x:v>105.08083000000002</x:v>
      </x:c>
    </x:row>
    <x:row r="16" ht="23" customHeight="1">
      <x:c r="A16" s="21" t="str">
        <x:v>W0010</x:v>
      </x:c>
      <x:c r="B16" s="22" t="n">
        <x:v>46288</x:v>
      </x:c>
      <x:c r="C16" s="21" t="str">
        <x:v>Campaign 1</x:v>
      </x:c>
      <x:c r="D16" s="21" t="str">
        <x:v>Content</x:v>
      </x:c>
      <x:c r="E16" s="21" t="str">
        <x:v>Jordan Ellis</x:v>
      </x:c>
      <x:c r="F16" s="21" t="str">
        <x:v>CopyStudio</x:v>
      </x:c>
      <x:c r="G16" s="21" t="str">
        <x:v>Lite</x:v>
      </x:c>
      <x:c r="H16" s="21" t="str">
        <x:v>Write ad copy</x:v>
      </x:c>
      <x:c r="I16" s="23" t="n">
        <x:v>9</x:v>
      </x:c>
      <x:c r="J16" s="23" t="n">
        <x:v>483839</x:v>
      </x:c>
      <x:c r="K16" s="23" t="n">
        <x:v>92033</x:v>
      </x:c>
      <x:c r="L16" s="23" t="n">
        <x:v>10</x:v>
      </x:c>
      <x:c r="M16" s="23" t="n">
        <x:v>30</x:v>
      </x:c>
      <x:c r="N16" s="24" t="n">
        <x:v>4</x:v>
      </x:c>
      <x:c r="O16" s="24" t="n">
        <x:v>2.18</x:v>
      </x:c>
      <x:c r="P16" s="24" t="n">
        <x:v>0.14</x:v>
      </x:c>
      <x:c r="Q16" s="21" t="str">
        <x:v>None</x:v>
      </x:c>
      <x:c r="R16" s="14" t="n">
        <x:f>J16+K16</x:f>
        <x:v>575872</x:v>
      </x:c>
      <x:c r="S16" s="25" t="n">
        <x:f>J16*L16/1000000</x:f>
        <x:v>4.83839</x:v>
      </x:c>
      <x:c r="T16" s="25" t="n">
        <x:f>K16*M16/1000000</x:f>
        <x:v>2.76099</x:v>
      </x:c>
      <x:c r="U16" s="25" t="n">
        <x:f>SUM(S16:T16)</x:f>
        <x:v>7.59938</x:v>
      </x:c>
      <x:c r="V16" s="15" t="n">
        <x:f>N16-O16</x:f>
        <x:v>1.8199999999999998</x:v>
      </x:c>
      <x:c r="W16" s="25" t="n">
        <x:f>V16*$B$3</x:f>
        <x:v>90.99999999999999</x:v>
      </x:c>
      <x:c r="X16" s="25" t="n">
        <x:f>W16-U16</x:f>
        <x:v>83.40061999999999</x:v>
      </x:c>
    </x:row>
    <x:row r="17" ht="23" customHeight="1">
      <x:c r="A17" s="21" t="str">
        <x:v>W0011</x:v>
      </x:c>
      <x:c r="B17" s="22" t="n">
        <x:v>46273</x:v>
      </x:c>
      <x:c r="C17" s="21" t="str">
        <x:v>Campaign 1</x:v>
      </x:c>
      <x:c r="D17" s="21" t="str">
        <x:v>Creative</x:v>
      </x:c>
      <x:c r="E17" s="21" t="str">
        <x:v>Riley Chen</x:v>
      </x:c>
      <x:c r="F17" s="21" t="str">
        <x:v>CampaignChat</x:v>
      </x:c>
      <x:c r="G17" s="21" t="str">
        <x:v>Lite</x:v>
      </x:c>
      <x:c r="H17" s="21" t="str">
        <x:v>Review creative variants</x:v>
      </x:c>
      <x:c r="I17" s="23" t="n">
        <x:v>10</x:v>
      </x:c>
      <x:c r="J17" s="23" t="n">
        <x:v>323449</x:v>
      </x:c>
      <x:c r="K17" s="23" t="n">
        <x:v>84287</x:v>
      </x:c>
      <x:c r="L17" s="23" t="n">
        <x:v>10</x:v>
      </x:c>
      <x:c r="M17" s="23" t="n">
        <x:v>30</x:v>
      </x:c>
      <x:c r="N17" s="24" t="n">
        <x:v>3.2</x:v>
      </x:c>
      <x:c r="O17" s="24" t="n">
        <x:v>1.43</x:v>
      </x:c>
      <x:c r="P17" s="24" t="n">
        <x:v>0.05</x:v>
      </x:c>
      <x:c r="Q17" s="21" t="str">
        <x:v>None</x:v>
      </x:c>
      <x:c r="R17" s="14" t="n">
        <x:f>J17+K17</x:f>
        <x:v>407736</x:v>
      </x:c>
      <x:c r="S17" s="25" t="n">
        <x:f>J17*L17/1000000</x:f>
        <x:v>3.23449</x:v>
      </x:c>
      <x:c r="T17" s="25" t="n">
        <x:f>K17*M17/1000000</x:f>
        <x:v>2.52861</x:v>
      </x:c>
      <x:c r="U17" s="25" t="n">
        <x:f>SUM(S17:T17)</x:f>
        <x:v>5.7631</x:v>
      </x:c>
      <x:c r="V17" s="15" t="n">
        <x:f>N17-O17</x:f>
        <x:v>1.7700000000000002</x:v>
      </x:c>
      <x:c r="W17" s="25" t="n">
        <x:f>V17*$B$3</x:f>
        <x:v>88.50000000000001</x:v>
      </x:c>
      <x:c r="X17" s="25" t="n">
        <x:f>W17-U17</x:f>
        <x:v>82.73690000000002</x:v>
      </x:c>
    </x:row>
    <x:row r="18" ht="23" customHeight="1">
      <x:c r="A18" s="21" t="str">
        <x:v>W0012</x:v>
      </x:c>
      <x:c r="B18" s="22" t="n">
        <x:v>46282</x:v>
      </x:c>
      <x:c r="C18" s="21" t="str">
        <x:v>Campaign 1</x:v>
      </x:c>
      <x:c r="D18" s="21" t="str">
        <x:v>Creative</x:v>
      </x:c>
      <x:c r="E18" s="21" t="str">
        <x:v>Taylor Brooks</x:v>
      </x:c>
      <x:c r="F18" s="21" t="str">
        <x:v>CampaignChat</x:v>
      </x:c>
      <x:c r="G18" s="21" t="str">
        <x:v>Pro</x:v>
      </x:c>
      <x:c r="H18" s="21" t="str">
        <x:v>Plan visual narrative</x:v>
      </x:c>
      <x:c r="I18" s="23" t="n">
        <x:v>10</x:v>
      </x:c>
      <x:c r="J18" s="23" t="n">
        <x:v>178366</x:v>
      </x:c>
      <x:c r="K18" s="23" t="n">
        <x:v>101926</x:v>
      </x:c>
      <x:c r="L18" s="23" t="n">
        <x:v>40</x:v>
      </x:c>
      <x:c r="M18" s="23" t="n">
        <x:v>100</x:v>
      </x:c>
      <x:c r="N18" s="24" t="n">
        <x:v>3.84</x:v>
      </x:c>
      <x:c r="O18" s="24" t="n">
        <x:v>1.54</x:v>
      </x:c>
      <x:c r="P18" s="24" t="n">
        <x:v>0.02</x:v>
      </x:c>
      <x:c r="Q18" s="21" t="str">
        <x:v>None</x:v>
      </x:c>
      <x:c r="R18" s="14" t="n">
        <x:f>J18+K18</x:f>
        <x:v>280292</x:v>
      </x:c>
      <x:c r="S18" s="25" t="n">
        <x:f>J18*L18/1000000</x:f>
        <x:v>7.13464</x:v>
      </x:c>
      <x:c r="T18" s="25" t="n">
        <x:f>K18*M18/1000000</x:f>
        <x:v>10.1926</x:v>
      </x:c>
      <x:c r="U18" s="25" t="n">
        <x:f>SUM(S18:T18)</x:f>
        <x:v>17.32724</x:v>
      </x:c>
      <x:c r="V18" s="15" t="n">
        <x:f>N18-O18</x:f>
        <x:v>2.3</x:v>
      </x:c>
      <x:c r="W18" s="25" t="n">
        <x:f>V18*$B$3</x:f>
        <x:v>114.99999999999999</x:v>
      </x:c>
      <x:c r="X18" s="25" t="n">
        <x:f>W18-U18</x:f>
        <x:v>97.67275999999998</x:v>
      </x:c>
    </x:row>
    <x:row r="19" ht="23" customHeight="1">
      <x:c r="A19" s="21" t="str">
        <x:v>W0013</x:v>
      </x:c>
      <x:c r="B19" s="22" t="n">
        <x:v>46293</x:v>
      </x:c>
      <x:c r="C19" s="21" t="str">
        <x:v>Campaign 1</x:v>
      </x:c>
      <x:c r="D19" s="21" t="str">
        <x:v>Marketing Operations</x:v>
      </x:c>
      <x:c r="E19" s="21" t="str">
        <x:v>Casey Rivera</x:v>
      </x:c>
      <x:c r="F19" s="21" t="str">
        <x:v>DataFlow</x:v>
      </x:c>
      <x:c r="G19" s="21" t="str">
        <x:v>Lite</x:v>
      </x:c>
      <x:c r="H19" s="21" t="str">
        <x:v>Build campaign plan</x:v>
      </x:c>
      <x:c r="I19" s="23" t="n">
        <x:v>11</x:v>
      </x:c>
      <x:c r="J19" s="23" t="n">
        <x:v>273171</x:v>
      </x:c>
      <x:c r="K19" s="23" t="n">
        <x:v>50676</x:v>
      </x:c>
      <x:c r="L19" s="23" t="n">
        <x:v>10</x:v>
      </x:c>
      <x:c r="M19" s="23" t="n">
        <x:v>30</x:v>
      </x:c>
      <x:c r="N19" s="24" t="n">
        <x:v>4.23</x:v>
      </x:c>
      <x:c r="O19" s="24" t="n">
        <x:v>1.35</x:v>
      </x:c>
      <x:c r="P19" s="24" t="n">
        <x:v>0.2</x:v>
      </x:c>
      <x:c r="Q19" s="21" t="str">
        <x:v>Brief changed</x:v>
      </x:c>
      <x:c r="R19" s="14" t="n">
        <x:f>J19+K19</x:f>
        <x:v>323847</x:v>
      </x:c>
      <x:c r="S19" s="25" t="n">
        <x:f>J19*L19/1000000</x:f>
        <x:v>2.73171</x:v>
      </x:c>
      <x:c r="T19" s="25" t="n">
        <x:f>K19*M19/1000000</x:f>
        <x:v>1.52028</x:v>
      </x:c>
      <x:c r="U19" s="25" t="n">
        <x:f>SUM(S19:T19)</x:f>
        <x:v>4.25199</x:v>
      </x:c>
      <x:c r="V19" s="15" t="n">
        <x:f>N19-O19</x:f>
        <x:v>2.8800000000000003</x:v>
      </x:c>
      <x:c r="W19" s="25" t="n">
        <x:f>V19*$B$3</x:f>
        <x:v>144.00000000000003</x:v>
      </x:c>
      <x:c r="X19" s="25" t="n">
        <x:f>W19-U19</x:f>
        <x:v>139.74801000000002</x:v>
      </x:c>
    </x:row>
    <x:row r="20" ht="23" customHeight="1">
      <x:c r="A20" s="21" t="str">
        <x:v>W0014</x:v>
      </x:c>
      <x:c r="B20" s="22" t="n">
        <x:v>46276</x:v>
      </x:c>
      <x:c r="C20" s="21" t="str">
        <x:v>Campaign 1</x:v>
      </x:c>
      <x:c r="D20" s="21" t="str">
        <x:v>Marketing Operations</x:v>
      </x:c>
      <x:c r="E20" s="21" t="str">
        <x:v>Morgan Reed</x:v>
      </x:c>
      <x:c r="F20" s="21" t="str">
        <x:v>DataFlow</x:v>
      </x:c>
      <x:c r="G20" s="21" t="str">
        <x:v>Lite</x:v>
      </x:c>
      <x:c r="H20" s="21" t="str">
        <x:v>Clean audience data</x:v>
      </x:c>
      <x:c r="I20" s="23" t="n">
        <x:v>7</x:v>
      </x:c>
      <x:c r="J20" s="23" t="n">
        <x:v>297094</x:v>
      </x:c>
      <x:c r="K20" s="23" t="n">
        <x:v>78626</x:v>
      </x:c>
      <x:c r="L20" s="23" t="n">
        <x:v>10</x:v>
      </x:c>
      <x:c r="M20" s="23" t="n">
        <x:v>30</x:v>
      </x:c>
      <x:c r="N20" s="24" t="n">
        <x:v>3.61</x:v>
      </x:c>
      <x:c r="O20" s="24" t="n">
        <x:v>1.95</x:v>
      </x:c>
      <x:c r="P20" s="24" t="n">
        <x:v>0.35</x:v>
      </x:c>
      <x:c r="Q20" s="21" t="str">
        <x:v>Data problem</x:v>
      </x:c>
      <x:c r="R20" s="14" t="n">
        <x:f>J20+K20</x:f>
        <x:v>375720</x:v>
      </x:c>
      <x:c r="S20" s="25" t="n">
        <x:f>J20*L20/1000000</x:f>
        <x:v>2.97094</x:v>
      </x:c>
      <x:c r="T20" s="25" t="n">
        <x:f>K20*M20/1000000</x:f>
        <x:v>2.35878</x:v>
      </x:c>
      <x:c r="U20" s="25" t="n">
        <x:f>SUM(S20:T20)</x:f>
        <x:v>5.32972</x:v>
      </x:c>
      <x:c r="V20" s="15" t="n">
        <x:f>N20-O20</x:f>
        <x:v>1.66</x:v>
      </x:c>
      <x:c r="W20" s="25" t="n">
        <x:f>V20*$B$3</x:f>
        <x:v>83</x:v>
      </x:c>
      <x:c r="X20" s="25" t="n">
        <x:f>W20-U20</x:f>
        <x:v>77.67028</x:v>
      </x:c>
    </x:row>
    <x:row r="21" ht="23" customHeight="1">
      <x:c r="A21" s="21" t="str">
        <x:v>W0015</x:v>
      </x:c>
      <x:c r="B21" s="22" t="n">
        <x:v>46287</x:v>
      </x:c>
      <x:c r="C21" s="21" t="str">
        <x:v>Campaign 1</x:v>
      </x:c>
      <x:c r="D21" s="21" t="str">
        <x:v>Analytics</x:v>
      </x:c>
      <x:c r="E21" s="21" t="str">
        <x:v>Quinn Parker</x:v>
      </x:c>
      <x:c r="F21" s="21" t="str">
        <x:v>InsightDesk</x:v>
      </x:c>
      <x:c r="G21" s="21" t="str">
        <x:v>Pro</x:v>
      </x:c>
      <x:c r="H21" s="21" t="str">
        <x:v>Check measurement plan</x:v>
      </x:c>
      <x:c r="I21" s="23" t="n">
        <x:v>8</x:v>
      </x:c>
      <x:c r="J21" s="23" t="n">
        <x:v>174851</x:v>
      </x:c>
      <x:c r="K21" s="23" t="n">
        <x:v>63453</x:v>
      </x:c>
      <x:c r="L21" s="23" t="n">
        <x:v>40</x:v>
      </x:c>
      <x:c r="M21" s="23" t="n">
        <x:v>100</x:v>
      </x:c>
      <x:c r="N21" s="24" t="n">
        <x:v>4.21</x:v>
      </x:c>
      <x:c r="O21" s="24" t="n">
        <x:v>2.15</x:v>
      </x:c>
      <x:c r="P21" s="24" t="n">
        <x:v>0.09</x:v>
      </x:c>
      <x:c r="Q21" s="21" t="str">
        <x:v>None</x:v>
      </x:c>
      <x:c r="R21" s="14" t="n">
        <x:f>J21+K21</x:f>
        <x:v>238304</x:v>
      </x:c>
      <x:c r="S21" s="25" t="n">
        <x:f>J21*L21/1000000</x:f>
        <x:v>6.99404</x:v>
      </x:c>
      <x:c r="T21" s="25" t="n">
        <x:f>K21*M21/1000000</x:f>
        <x:v>6.3453</x:v>
      </x:c>
      <x:c r="U21" s="25" t="n">
        <x:f>SUM(S21:T21)</x:f>
        <x:v>13.33934</x:v>
      </x:c>
      <x:c r="V21" s="15" t="n">
        <x:f>N21-O21</x:f>
        <x:v>2.06</x:v>
      </x:c>
      <x:c r="W21" s="25" t="n">
        <x:f>V21*$B$3</x:f>
        <x:v>103</x:v>
      </x:c>
      <x:c r="X21" s="25" t="n">
        <x:f>W21-U21</x:f>
        <x:v>89.66066000000001</x:v>
      </x:c>
    </x:row>
    <x:row r="22" ht="23" customHeight="1">
      <x:c r="A22" s="21" t="str">
        <x:v>W0016</x:v>
      </x:c>
      <x:c r="B22" s="22" t="n">
        <x:v>46269</x:v>
      </x:c>
      <x:c r="C22" s="21" t="str">
        <x:v>Campaign 1</x:v>
      </x:c>
      <x:c r="D22" s="21" t="str">
        <x:v>Analytics</x:v>
      </x:c>
      <x:c r="E22" s="21" t="str">
        <x:v>Jamie Patel</x:v>
      </x:c>
      <x:c r="F22" s="21" t="str">
        <x:v>InsightDesk</x:v>
      </x:c>
      <x:c r="G22" s="21" t="str">
        <x:v>Pro</x:v>
      </x:c>
      <x:c r="H22" s="21" t="str">
        <x:v>Analyze campaign results</x:v>
      </x:c>
      <x:c r="I22" s="23" t="n">
        <x:v>11</x:v>
      </x:c>
      <x:c r="J22" s="23" t="n">
        <x:v>186617</x:v>
      </x:c>
      <x:c r="K22" s="23" t="n">
        <x:v>106767</x:v>
      </x:c>
      <x:c r="L22" s="23" t="n">
        <x:v>40</x:v>
      </x:c>
      <x:c r="M22" s="23" t="n">
        <x:v>100</x:v>
      </x:c>
      <x:c r="N22" s="24" t="n">
        <x:v>3.91</x:v>
      </x:c>
      <x:c r="O22" s="24" t="n">
        <x:v>2.04</x:v>
      </x:c>
      <x:c r="P22" s="24" t="n">
        <x:v>0.26</x:v>
      </x:c>
      <x:c r="Q22" s="21" t="str">
        <x:v>Brief changed</x:v>
      </x:c>
      <x:c r="R22" s="14" t="n">
        <x:f>J22+K22</x:f>
        <x:v>293384</x:v>
      </x:c>
      <x:c r="S22" s="25" t="n">
        <x:f>J22*L22/1000000</x:f>
        <x:v>7.46468</x:v>
      </x:c>
      <x:c r="T22" s="25" t="n">
        <x:f>K22*M22/1000000</x:f>
        <x:v>10.6767</x:v>
      </x:c>
      <x:c r="U22" s="25" t="n">
        <x:f>SUM(S22:T22)</x:f>
        <x:v>18.14138</x:v>
      </x:c>
      <x:c r="V22" s="15" t="n">
        <x:f>N22-O22</x:f>
        <x:v>1.87</x:v>
      </x:c>
      <x:c r="W22" s="25" t="n">
        <x:f>V22*$B$3</x:f>
        <x:v>93.5</x:v>
      </x:c>
      <x:c r="X22" s="25" t="n">
        <x:f>W22-U22</x:f>
        <x:v>75.35862</x:v>
      </x:c>
    </x:row>
    <x:row r="23" ht="23" customHeight="1">
      <x:c r="A23" s="21" t="str">
        <x:v>W0017</x:v>
      </x:c>
      <x:c r="B23" s="22" t="n">
        <x:v>46281</x:v>
      </x:c>
      <x:c r="C23" s="21" t="str">
        <x:v>Campaign 1</x:v>
      </x:c>
      <x:c r="D23" s="21" t="str">
        <x:v>Content</x:v>
      </x:c>
      <x:c r="E23" s="21" t="str">
        <x:v>Avery Morgan</x:v>
      </x:c>
      <x:c r="F23" s="21" t="str">
        <x:v>CopyStudio</x:v>
      </x:c>
      <x:c r="G23" s="21" t="str">
        <x:v>Lite</x:v>
      </x:c>
      <x:c r="H23" s="21" t="str">
        <x:v>Draft email sequence</x:v>
      </x:c>
      <x:c r="I23" s="23" t="n">
        <x:v>12</x:v>
      </x:c>
      <x:c r="J23" s="23" t="n">
        <x:v>547176</x:v>
      </x:c>
      <x:c r="K23" s="23" t="n">
        <x:v>95814</x:v>
      </x:c>
      <x:c r="L23" s="23" t="n">
        <x:v>10</x:v>
      </x:c>
      <x:c r="M23" s="23" t="n">
        <x:v>30</x:v>
      </x:c>
      <x:c r="N23" s="24" t="n">
        <x:v>2.77</x:v>
      </x:c>
      <x:c r="O23" s="24" t="n">
        <x:v>1.21</x:v>
      </x:c>
      <x:c r="P23" s="24" t="n">
        <x:v>0.02</x:v>
      </x:c>
      <x:c r="Q23" s="21" t="str">
        <x:v>None</x:v>
      </x:c>
      <x:c r="R23" s="14" t="n">
        <x:f>J23+K23</x:f>
        <x:v>642990</x:v>
      </x:c>
      <x:c r="S23" s="25" t="n">
        <x:f>J23*L23/1000000</x:f>
        <x:v>5.47176</x:v>
      </x:c>
      <x:c r="T23" s="25" t="n">
        <x:f>K23*M23/1000000</x:f>
        <x:v>2.87442</x:v>
      </x:c>
      <x:c r="U23" s="25" t="n">
        <x:f>SUM(S23:T23)</x:f>
        <x:v>8.34618</x:v>
      </x:c>
      <x:c r="V23" s="15" t="n">
        <x:f>N23-O23</x:f>
        <x:v>1.56</x:v>
      </x:c>
      <x:c r="W23" s="25" t="n">
        <x:f>V23*$B$3</x:f>
        <x:v>78</x:v>
      </x:c>
      <x:c r="X23" s="25" t="n">
        <x:f>W23-U23</x:f>
        <x:v>69.65382</x:v>
      </x:c>
    </x:row>
    <x:row r="24" ht="23" customHeight="1">
      <x:c r="A24" s="21" t="str">
        <x:v>W0018</x:v>
      </x:c>
      <x:c r="B24" s="22" t="n">
        <x:v>46290</x:v>
      </x:c>
      <x:c r="C24" s="21" t="str">
        <x:v>Campaign 1</x:v>
      </x:c>
      <x:c r="D24" s="21" t="str">
        <x:v>Content</x:v>
      </x:c>
      <x:c r="E24" s="21" t="str">
        <x:v>Jordan Ellis</x:v>
      </x:c>
      <x:c r="F24" s="21" t="str">
        <x:v>CopyStudio</x:v>
      </x:c>
      <x:c r="G24" s="21" t="str">
        <x:v>Lite</x:v>
      </x:c>
      <x:c r="H24" s="21" t="str">
        <x:v>Edit landing page</x:v>
      </x:c>
      <x:c r="I24" s="23" t="n">
        <x:v>13</x:v>
      </x:c>
      <x:c r="J24" s="23" t="n">
        <x:v>680501</x:v>
      </x:c>
      <x:c r="K24" s="23" t="n">
        <x:v>102212</x:v>
      </x:c>
      <x:c r="L24" s="23" t="n">
        <x:v>10</x:v>
      </x:c>
      <x:c r="M24" s="23" t="n">
        <x:v>30</x:v>
      </x:c>
      <x:c r="N24" s="24" t="n">
        <x:v>5.26</x:v>
      </x:c>
      <x:c r="O24" s="24" t="n">
        <x:v>2.96</x:v>
      </x:c>
      <x:c r="P24" s="24" t="n">
        <x:v>0.45</x:v>
      </x:c>
      <x:c r="Q24" s="21" t="str">
        <x:v>Unclear prompt</x:v>
      </x:c>
      <x:c r="R24" s="14" t="n">
        <x:f>J24+K24</x:f>
        <x:v>782713</x:v>
      </x:c>
      <x:c r="S24" s="25" t="n">
        <x:f>J24*L24/1000000</x:f>
        <x:v>6.80501</x:v>
      </x:c>
      <x:c r="T24" s="25" t="n">
        <x:f>K24*M24/1000000</x:f>
        <x:v>3.06636</x:v>
      </x:c>
      <x:c r="U24" s="25" t="n">
        <x:f>SUM(S24:T24)</x:f>
        <x:v>9.87137</x:v>
      </x:c>
      <x:c r="V24" s="15" t="n">
        <x:f>N24-O24</x:f>
        <x:v>2.3</x:v>
      </x:c>
      <x:c r="W24" s="25" t="n">
        <x:f>V24*$B$3</x:f>
        <x:v>114.99999999999999</x:v>
      </x:c>
      <x:c r="X24" s="25" t="n">
        <x:f>W24-U24</x:f>
        <x:v>105.12862999999999</x:v>
      </x:c>
    </x:row>
    <x:row r="25" ht="23" customHeight="1">
      <x:c r="A25" s="21" t="str">
        <x:v>W0019</x:v>
      </x:c>
      <x:c r="B25" s="22" t="n">
        <x:v>46275</x:v>
      </x:c>
      <x:c r="C25" s="21" t="str">
        <x:v>Campaign 1</x:v>
      </x:c>
      <x:c r="D25" s="21" t="str">
        <x:v>Creative</x:v>
      </x:c>
      <x:c r="E25" s="21" t="str">
        <x:v>Riley Chen</x:v>
      </x:c>
      <x:c r="F25" s="21" t="str">
        <x:v>CampaignChat</x:v>
      </x:c>
      <x:c r="G25" s="21" t="str">
        <x:v>Pro</x:v>
      </x:c>
      <x:c r="H25" s="21" t="str">
        <x:v>Develop concept brief</x:v>
      </x:c>
      <x:c r="I25" s="23" t="n">
        <x:v>8</x:v>
      </x:c>
      <x:c r="J25" s="23" t="n">
        <x:v>146897</x:v>
      </x:c>
      <x:c r="K25" s="23" t="n">
        <x:v>44737</x:v>
      </x:c>
      <x:c r="L25" s="23" t="n">
        <x:v>40</x:v>
      </x:c>
      <x:c r="M25" s="23" t="n">
        <x:v>100</x:v>
      </x:c>
      <x:c r="N25" s="24" t="n">
        <x:v>3</x:v>
      </x:c>
      <x:c r="O25" s="24" t="n">
        <x:v>1.51</x:v>
      </x:c>
      <x:c r="P25" s="24" t="n">
        <x:v>0.08</x:v>
      </x:c>
      <x:c r="Q25" s="21" t="str">
        <x:v>None</x:v>
      </x:c>
      <x:c r="R25" s="14" t="n">
        <x:f>J25+K25</x:f>
        <x:v>191634</x:v>
      </x:c>
      <x:c r="S25" s="25" t="n">
        <x:f>J25*L25/1000000</x:f>
        <x:v>5.87588</x:v>
      </x:c>
      <x:c r="T25" s="25" t="n">
        <x:f>K25*M25/1000000</x:f>
        <x:v>4.4737</x:v>
      </x:c>
      <x:c r="U25" s="25" t="n">
        <x:f>SUM(S25:T25)</x:f>
        <x:v>10.34958</x:v>
      </x:c>
      <x:c r="V25" s="15" t="n">
        <x:f>N25-O25</x:f>
        <x:v>1.49</x:v>
      </x:c>
      <x:c r="W25" s="25" t="n">
        <x:f>V25*$B$3</x:f>
        <x:v>74.5</x:v>
      </x:c>
      <x:c r="X25" s="25" t="n">
        <x:f>W25-U25</x:f>
        <x:v>64.15042</x:v>
      </x:c>
    </x:row>
    <x:row r="26" ht="23" customHeight="1">
      <x:c r="A26" s="21" t="str">
        <x:v>W0020</x:v>
      </x:c>
      <x:c r="B26" s="22" t="n">
        <x:v>46286</x:v>
      </x:c>
      <x:c r="C26" s="21" t="str">
        <x:v>Campaign 1</x:v>
      </x:c>
      <x:c r="D26" s="21" t="str">
        <x:v>Creative</x:v>
      </x:c>
      <x:c r="E26" s="21" t="str">
        <x:v>Taylor Brooks</x:v>
      </x:c>
      <x:c r="F26" s="21" t="str">
        <x:v>CampaignChat</x:v>
      </x:c>
      <x:c r="G26" s="21" t="str">
        <x:v>Lite</x:v>
      </x:c>
      <x:c r="H26" s="21" t="str">
        <x:v>Review creative variants</x:v>
      </x:c>
      <x:c r="I26" s="23" t="n">
        <x:v>8</x:v>
      </x:c>
      <x:c r="J26" s="23" t="n">
        <x:v>340278</x:v>
      </x:c>
      <x:c r="K26" s="23" t="n">
        <x:v>49462</x:v>
      </x:c>
      <x:c r="L26" s="23" t="n">
        <x:v>10</x:v>
      </x:c>
      <x:c r="M26" s="23" t="n">
        <x:v>30</x:v>
      </x:c>
      <x:c r="N26" s="24" t="n">
        <x:v>2.78</x:v>
      </x:c>
      <x:c r="O26" s="24" t="n">
        <x:v>1.52</x:v>
      </x:c>
      <x:c r="P26" s="24" t="n">
        <x:v>0.06</x:v>
      </x:c>
      <x:c r="Q26" s="21" t="str">
        <x:v>None</x:v>
      </x:c>
      <x:c r="R26" s="14" t="n">
        <x:f>J26+K26</x:f>
        <x:v>389740</x:v>
      </x:c>
      <x:c r="S26" s="25" t="n">
        <x:f>J26*L26/1000000</x:f>
        <x:v>3.40278</x:v>
      </x:c>
      <x:c r="T26" s="25" t="n">
        <x:f>K26*M26/1000000</x:f>
        <x:v>1.48386</x:v>
      </x:c>
      <x:c r="U26" s="25" t="n">
        <x:f>SUM(S26:T26)</x:f>
        <x:v>4.88664</x:v>
      </x:c>
      <x:c r="V26" s="15" t="n">
        <x:f>N26-O26</x:f>
        <x:v>1.2599999999999998</x:v>
      </x:c>
      <x:c r="W26" s="25" t="n">
        <x:f>V26*$B$3</x:f>
        <x:v>62.999999999999986</x:v>
      </x:c>
      <x:c r="X26" s="25" t="n">
        <x:f>W26-U26</x:f>
        <x:v>58.113359999999986</x:v>
      </x:c>
    </x:row>
    <x:row r="27" ht="23" customHeight="1">
      <x:c r="A27" s="21" t="str">
        <x:v>W0021</x:v>
      </x:c>
      <x:c r="B27" s="22" t="n">
        <x:v>46295</x:v>
      </x:c>
      <x:c r="C27" s="21" t="str">
        <x:v>Campaign 1</x:v>
      </x:c>
      <x:c r="D27" s="21" t="str">
        <x:v>Marketing Operations</x:v>
      </x:c>
      <x:c r="E27" s="21" t="str">
        <x:v>Casey Rivera</x:v>
      </x:c>
      <x:c r="F27" s="21" t="str">
        <x:v>DataFlow</x:v>
      </x:c>
      <x:c r="G27" s="21" t="str">
        <x:v>Lite</x:v>
      </x:c>
      <x:c r="H27" s="21" t="str">
        <x:v>Prepare launch checklist</x:v>
      </x:c>
      <x:c r="I27" s="23" t="n">
        <x:v>8</x:v>
      </x:c>
      <x:c r="J27" s="23" t="n">
        <x:v>434783</x:v>
      </x:c>
      <x:c r="K27" s="23" t="n">
        <x:v>69747</x:v>
      </x:c>
      <x:c r="L27" s="23" t="n">
        <x:v>10</x:v>
      </x:c>
      <x:c r="M27" s="23" t="n">
        <x:v>30</x:v>
      </x:c>
      <x:c r="N27" s="24" t="n">
        <x:v>2.9</x:v>
      </x:c>
      <x:c r="O27" s="24" t="n">
        <x:v>1.42</x:v>
      </x:c>
      <x:c r="P27" s="24" t="n">
        <x:v>0.12</x:v>
      </x:c>
      <x:c r="Q27" s="21" t="str">
        <x:v>None</x:v>
      </x:c>
      <x:c r="R27" s="14" t="n">
        <x:f>J27+K27</x:f>
        <x:v>504530</x:v>
      </x:c>
      <x:c r="S27" s="25" t="n">
        <x:f>J27*L27/1000000</x:f>
        <x:v>4.34783</x:v>
      </x:c>
      <x:c r="T27" s="25" t="n">
        <x:f>K27*M27/1000000</x:f>
        <x:v>2.09241</x:v>
      </x:c>
      <x:c r="U27" s="25" t="n">
        <x:f>SUM(S27:T27)</x:f>
        <x:v>6.44024</x:v>
      </x:c>
      <x:c r="V27" s="15" t="n">
        <x:f>N27-O27</x:f>
        <x:v>1.48</x:v>
      </x:c>
      <x:c r="W27" s="25" t="n">
        <x:f>V27*$B$3</x:f>
        <x:v>74</x:v>
      </x:c>
      <x:c r="X27" s="25" t="n">
        <x:f>W27-U27</x:f>
        <x:v>67.55976</x:v>
      </x:c>
    </x:row>
    <x:row r="28" ht="23" customHeight="1">
      <x:c r="A28" s="21" t="str">
        <x:v>W0022</x:v>
      </x:c>
      <x:c r="B28" s="22" t="n">
        <x:v>46280</x:v>
      </x:c>
      <x:c r="C28" s="21" t="str">
        <x:v>Campaign 1</x:v>
      </x:c>
      <x:c r="D28" s="21" t="str">
        <x:v>Marketing Operations</x:v>
      </x:c>
      <x:c r="E28" s="21" t="str">
        <x:v>Morgan Reed</x:v>
      </x:c>
      <x:c r="F28" s="21" t="str">
        <x:v>DataFlow</x:v>
      </x:c>
      <x:c r="G28" s="21" t="str">
        <x:v>Lite</x:v>
      </x:c>
      <x:c r="H28" s="21" t="str">
        <x:v>Build campaign plan</x:v>
      </x:c>
      <x:c r="I28" s="23" t="n">
        <x:v>12</x:v>
      </x:c>
      <x:c r="J28" s="23" t="n">
        <x:v>659372</x:v>
      </x:c>
      <x:c r="K28" s="23" t="n">
        <x:v>120788</x:v>
      </x:c>
      <x:c r="L28" s="23" t="n">
        <x:v>10</x:v>
      </x:c>
      <x:c r="M28" s="23" t="n">
        <x:v>30</x:v>
      </x:c>
      <x:c r="N28" s="24" t="n">
        <x:v>3.22</x:v>
      </x:c>
      <x:c r="O28" s="24" t="n">
        <x:v>1.57</x:v>
      </x:c>
      <x:c r="P28" s="24" t="n">
        <x:v>0.07</x:v>
      </x:c>
      <x:c r="Q28" s="21" t="str">
        <x:v>None</x:v>
      </x:c>
      <x:c r="R28" s="14" t="n">
        <x:f>J28+K28</x:f>
        <x:v>780160</x:v>
      </x:c>
      <x:c r="S28" s="25" t="n">
        <x:f>J28*L28/1000000</x:f>
        <x:v>6.59372</x:v>
      </x:c>
      <x:c r="T28" s="25" t="n">
        <x:f>K28*M28/1000000</x:f>
        <x:v>3.62364</x:v>
      </x:c>
      <x:c r="U28" s="25" t="n">
        <x:f>SUM(S28:T28)</x:f>
        <x:v>10.21736</x:v>
      </x:c>
      <x:c r="V28" s="15" t="n">
        <x:f>N28-O28</x:f>
        <x:v>1.6500000000000001</x:v>
      </x:c>
      <x:c r="W28" s="25" t="n">
        <x:f>V28*$B$3</x:f>
        <x:v>82.5</x:v>
      </x:c>
      <x:c r="X28" s="25" t="n">
        <x:f>W28-U28</x:f>
        <x:v>72.28264</x:v>
      </x:c>
    </x:row>
    <x:row r="29" ht="23" customHeight="1">
      <x:c r="A29" s="21" t="str">
        <x:v>W0023</x:v>
      </x:c>
      <x:c r="B29" s="22" t="n">
        <x:v>46289</x:v>
      </x:c>
      <x:c r="C29" s="21" t="str">
        <x:v>Campaign 1</x:v>
      </x:c>
      <x:c r="D29" s="21" t="str">
        <x:v>Analytics</x:v>
      </x:c>
      <x:c r="E29" s="21" t="str">
        <x:v>Quinn Parker</x:v>
      </x:c>
      <x:c r="F29" s="21" t="str">
        <x:v>InsightDesk</x:v>
      </x:c>
      <x:c r="G29" s="21" t="str">
        <x:v>Pro</x:v>
      </x:c>
      <x:c r="H29" s="21" t="str">
        <x:v>Summarize audience insights</x:v>
      </x:c>
      <x:c r="I29" s="23" t="n">
        <x:v>8</x:v>
      </x:c>
      <x:c r="J29" s="23" t="n">
        <x:v>174462</x:v>
      </x:c>
      <x:c r="K29" s="23" t="n">
        <x:v>59744</x:v>
      </x:c>
      <x:c r="L29" s="23" t="n">
        <x:v>40</x:v>
      </x:c>
      <x:c r="M29" s="23" t="n">
        <x:v>100</x:v>
      </x:c>
      <x:c r="N29" s="24" t="n">
        <x:v>5.14</x:v>
      </x:c>
      <x:c r="O29" s="24" t="n">
        <x:v>2.29</x:v>
      </x:c>
      <x:c r="P29" s="24" t="n">
        <x:v>0.05</x:v>
      </x:c>
      <x:c r="Q29" s="21" t="str">
        <x:v>Unclear prompt</x:v>
      </x:c>
      <x:c r="R29" s="14" t="n">
        <x:f>J29+K29</x:f>
        <x:v>234206</x:v>
      </x:c>
      <x:c r="S29" s="25" t="n">
        <x:f>J29*L29/1000000</x:f>
        <x:v>6.97848</x:v>
      </x:c>
      <x:c r="T29" s="25" t="n">
        <x:f>K29*M29/1000000</x:f>
        <x:v>5.9744</x:v>
      </x:c>
      <x:c r="U29" s="25" t="n">
        <x:f>SUM(S29:T29)</x:f>
        <x:v>12.95288</x:v>
      </x:c>
      <x:c r="V29" s="15" t="n">
        <x:f>N29-O29</x:f>
        <x:v>2.8499999999999996</x:v>
      </x:c>
      <x:c r="W29" s="25" t="n">
        <x:f>V29*$B$3</x:f>
        <x:v>142.49999999999997</x:v>
      </x:c>
      <x:c r="X29" s="25" t="n">
        <x:f>W29-U29</x:f>
        <x:v>129.54711999999998</x:v>
      </x:c>
    </x:row>
    <x:row r="30" ht="23" customHeight="1">
      <x:c r="A30" s="21" t="str">
        <x:v>W0024</x:v>
      </x:c>
      <x:c r="B30" s="22" t="n">
        <x:v>46274</x:v>
      </x:c>
      <x:c r="C30" s="21" t="str">
        <x:v>Campaign 1</x:v>
      </x:c>
      <x:c r="D30" s="21" t="str">
        <x:v>Analytics</x:v>
      </x:c>
      <x:c r="E30" s="21" t="str">
        <x:v>Jamie Patel</x:v>
      </x:c>
      <x:c r="F30" s="21" t="str">
        <x:v>CampaignChat</x:v>
      </x:c>
      <x:c r="G30" s="21" t="str">
        <x:v>Lite</x:v>
      </x:c>
      <x:c r="H30" s="21" t="str">
        <x:v>Check measurement plan</x:v>
      </x:c>
      <x:c r="I30" s="23" t="n">
        <x:v>12</x:v>
      </x:c>
      <x:c r="J30" s="23" t="n">
        <x:v>374816</x:v>
      </x:c>
      <x:c r="K30" s="23" t="n">
        <x:v>107305</x:v>
      </x:c>
      <x:c r="L30" s="23" t="n">
        <x:v>10</x:v>
      </x:c>
      <x:c r="M30" s="23" t="n">
        <x:v>30</x:v>
      </x:c>
      <x:c r="N30" s="24" t="n">
        <x:v>3.52</x:v>
      </x:c>
      <x:c r="O30" s="24" t="n">
        <x:v>1.92</x:v>
      </x:c>
      <x:c r="P30" s="24" t="n">
        <x:v>0.15</x:v>
      </x:c>
      <x:c r="Q30" s="21" t="str">
        <x:v>None</x:v>
      </x:c>
      <x:c r="R30" s="14" t="n">
        <x:f>J30+K30</x:f>
        <x:v>482121</x:v>
      </x:c>
      <x:c r="S30" s="25" t="n">
        <x:f>J30*L30/1000000</x:f>
        <x:v>3.74816</x:v>
      </x:c>
      <x:c r="T30" s="25" t="n">
        <x:f>K30*M30/1000000</x:f>
        <x:v>3.21915</x:v>
      </x:c>
      <x:c r="U30" s="25" t="n">
        <x:f>SUM(S30:T30)</x:f>
        <x:v>6.9673099999999994</x:v>
      </x:c>
      <x:c r="V30" s="15" t="n">
        <x:f>N30-O30</x:f>
        <x:v>1.6</x:v>
      </x:c>
      <x:c r="W30" s="25" t="n">
        <x:f>V30*$B$3</x:f>
        <x:v>80</x:v>
      </x:c>
      <x:c r="X30" s="25" t="n">
        <x:f>W30-U30</x:f>
        <x:v>73.03269</x:v>
      </x:c>
    </x:row>
    <x:row r="31" ht="23" customHeight="1">
      <x:c r="A31" s="21" t="str">
        <x:v>W0025</x:v>
      </x:c>
      <x:c r="B31" s="22" t="n">
        <x:v>46283</x:v>
      </x:c>
      <x:c r="C31" s="21" t="str">
        <x:v>Campaign 1</x:v>
      </x:c>
      <x:c r="D31" s="21" t="str">
        <x:v>Content</x:v>
      </x:c>
      <x:c r="E31" s="21" t="str">
        <x:v>Avery Morgan</x:v>
      </x:c>
      <x:c r="F31" s="21" t="str">
        <x:v>CopyStudio</x:v>
      </x:c>
      <x:c r="G31" s="21" t="str">
        <x:v>Lite</x:v>
      </x:c>
      <x:c r="H31" s="21" t="str">
        <x:v>Write ad copy</x:v>
      </x:c>
      <x:c r="I31" s="23" t="n">
        <x:v>9</x:v>
      </x:c>
      <x:c r="J31" s="23" t="n">
        <x:v>295324</x:v>
      </x:c>
      <x:c r="K31" s="23" t="n">
        <x:v>103406</x:v>
      </x:c>
      <x:c r="L31" s="23" t="n">
        <x:v>10</x:v>
      </x:c>
      <x:c r="M31" s="23" t="n">
        <x:v>30</x:v>
      </x:c>
      <x:c r="N31" s="24" t="n">
        <x:v>4.92</x:v>
      </x:c>
      <x:c r="O31" s="24" t="n">
        <x:v>2.74</x:v>
      </x:c>
      <x:c r="P31" s="24" t="n">
        <x:v>0.07</x:v>
      </x:c>
      <x:c r="Q31" s="21" t="str">
        <x:v>Brief changed</x:v>
      </x:c>
      <x:c r="R31" s="14" t="n">
        <x:f>J31+K31</x:f>
        <x:v>398730</x:v>
      </x:c>
      <x:c r="S31" s="25" t="n">
        <x:f>J31*L31/1000000</x:f>
        <x:v>2.95324</x:v>
      </x:c>
      <x:c r="T31" s="25" t="n">
        <x:f>K31*M31/1000000</x:f>
        <x:v>3.10218</x:v>
      </x:c>
      <x:c r="U31" s="25" t="n">
        <x:f>SUM(S31:T31)</x:f>
        <x:v>6.05542</x:v>
      </x:c>
      <x:c r="V31" s="15" t="n">
        <x:f>N31-O31</x:f>
        <x:v>2.1799999999999997</x:v>
      </x:c>
      <x:c r="W31" s="25" t="n">
        <x:f>V31*$B$3</x:f>
        <x:v>108.99999999999999</x:v>
      </x:c>
      <x:c r="X31" s="25" t="n">
        <x:f>W31-U31</x:f>
        <x:v>102.94457999999999</x:v>
      </x:c>
    </x:row>
    <x:row r="32" ht="23" customHeight="1">
      <x:c r="A32" s="21" t="str">
        <x:v>W0026</x:v>
      </x:c>
      <x:c r="B32" s="22" t="n">
        <x:v>46294</x:v>
      </x:c>
      <x:c r="C32" s="21" t="str">
        <x:v>Campaign 1</x:v>
      </x:c>
      <x:c r="D32" s="21" t="str">
        <x:v>Content</x:v>
      </x:c>
      <x:c r="E32" s="21" t="str">
        <x:v>Jordan Ellis</x:v>
      </x:c>
      <x:c r="F32" s="21" t="str">
        <x:v>CopyStudio</x:v>
      </x:c>
      <x:c r="G32" s="21" t="str">
        <x:v>Lite</x:v>
      </x:c>
      <x:c r="H32" s="21" t="str">
        <x:v>Draft email sequence</x:v>
      </x:c>
      <x:c r="I32" s="23" t="n">
        <x:v>12</x:v>
      </x:c>
      <x:c r="J32" s="23" t="n">
        <x:v>509456</x:v>
      </x:c>
      <x:c r="K32" s="23" t="n">
        <x:v>73501</x:v>
      </x:c>
      <x:c r="L32" s="23" t="n">
        <x:v>10</x:v>
      </x:c>
      <x:c r="M32" s="23" t="n">
        <x:v>30</x:v>
      </x:c>
      <x:c r="N32" s="24" t="n">
        <x:v>3.8</x:v>
      </x:c>
      <x:c r="O32" s="24" t="n">
        <x:v>1.57</x:v>
      </x:c>
      <x:c r="P32" s="24" t="n">
        <x:v>0.03</x:v>
      </x:c>
      <x:c r="Q32" s="21" t="str">
        <x:v>None</x:v>
      </x:c>
      <x:c r="R32" s="14" t="n">
        <x:f>J32+K32</x:f>
        <x:v>582957</x:v>
      </x:c>
      <x:c r="S32" s="25" t="n">
        <x:f>J32*L32/1000000</x:f>
        <x:v>5.09456</x:v>
      </x:c>
      <x:c r="T32" s="25" t="n">
        <x:f>K32*M32/1000000</x:f>
        <x:v>2.20503</x:v>
      </x:c>
      <x:c r="U32" s="25" t="n">
        <x:f>SUM(S32:T32)</x:f>
        <x:v>7.29959</x:v>
      </x:c>
      <x:c r="V32" s="15" t="n">
        <x:f>N32-O32</x:f>
        <x:v>2.2299999999999995</x:v>
      </x:c>
      <x:c r="W32" s="25" t="n">
        <x:f>V32*$B$3</x:f>
        <x:v>111.49999999999997</x:v>
      </x:c>
      <x:c r="X32" s="25" t="n">
        <x:f>W32-U32</x:f>
        <x:v>104.20040999999998</x:v>
      </x:c>
    </x:row>
    <x:row r="33" ht="23" customHeight="1">
      <x:c r="A33" s="21" t="str">
        <x:v>W0027</x:v>
      </x:c>
      <x:c r="B33" s="22" t="n">
        <x:v>46279</x:v>
      </x:c>
      <x:c r="C33" s="21" t="str">
        <x:v>Campaign 1</x:v>
      </x:c>
      <x:c r="D33" s="21" t="str">
        <x:v>Creative</x:v>
      </x:c>
      <x:c r="E33" s="21" t="str">
        <x:v>Riley Chen</x:v>
      </x:c>
      <x:c r="F33" s="21" t="str">
        <x:v>CampaignChat</x:v>
      </x:c>
      <x:c r="G33" s="21" t="str">
        <x:v>Lite</x:v>
      </x:c>
      <x:c r="H33" s="21" t="str">
        <x:v>Plan visual narrative</x:v>
      </x:c>
      <x:c r="I33" s="23" t="n">
        <x:v>9</x:v>
      </x:c>
      <x:c r="J33" s="23" t="n">
        <x:v>474129</x:v>
      </x:c>
      <x:c r="K33" s="23" t="n">
        <x:v>52429</x:v>
      </x:c>
      <x:c r="L33" s="23" t="n">
        <x:v>10</x:v>
      </x:c>
      <x:c r="M33" s="23" t="n">
        <x:v>30</x:v>
      </x:c>
      <x:c r="N33" s="24" t="n">
        <x:v>4.7</x:v>
      </x:c>
      <x:c r="O33" s="24" t="n">
        <x:v>2.76</x:v>
      </x:c>
      <x:c r="P33" s="24" t="n">
        <x:v>0.14</x:v>
      </x:c>
      <x:c r="Q33" s="21" t="str">
        <x:v>None</x:v>
      </x:c>
      <x:c r="R33" s="14" t="n">
        <x:f>J33+K33</x:f>
        <x:v>526558</x:v>
      </x:c>
      <x:c r="S33" s="25" t="n">
        <x:f>J33*L33/1000000</x:f>
        <x:v>4.74129</x:v>
      </x:c>
      <x:c r="T33" s="25" t="n">
        <x:f>K33*M33/1000000</x:f>
        <x:v>1.57287</x:v>
      </x:c>
      <x:c r="U33" s="25" t="n">
        <x:f>SUM(S33:T33)</x:f>
        <x:v>6.31416</x:v>
      </x:c>
      <x:c r="V33" s="15" t="n">
        <x:f>N33-O33</x:f>
        <x:v>1.9400000000000004</x:v>
      </x:c>
      <x:c r="W33" s="25" t="n">
        <x:f>V33*$B$3</x:f>
        <x:v>97.00000000000001</x:v>
      </x:c>
      <x:c r="X33" s="25" t="n">
        <x:f>W33-U33</x:f>
        <x:v>90.68584000000001</x:v>
      </x:c>
    </x:row>
    <x:row r="34" ht="23" customHeight="1">
      <x:c r="A34" s="21" t="str">
        <x:v>W0028</x:v>
      </x:c>
      <x:c r="B34" s="22" t="n">
        <x:v>46288</x:v>
      </x:c>
      <x:c r="C34" s="21" t="str">
        <x:v>Campaign 1</x:v>
      </x:c>
      <x:c r="D34" s="21" t="str">
        <x:v>Creative</x:v>
      </x:c>
      <x:c r="E34" s="21" t="str">
        <x:v>Taylor Brooks</x:v>
      </x:c>
      <x:c r="F34" s="21" t="str">
        <x:v>CampaignChat</x:v>
      </x:c>
      <x:c r="G34" s="21" t="str">
        <x:v>Lite</x:v>
      </x:c>
      <x:c r="H34" s="21" t="str">
        <x:v>Develop concept brief</x:v>
      </x:c>
      <x:c r="I34" s="23" t="n">
        <x:v>10</x:v>
      </x:c>
      <x:c r="J34" s="23" t="n">
        <x:v>230814</x:v>
      </x:c>
      <x:c r="K34" s="23" t="n">
        <x:v>106368</x:v>
      </x:c>
      <x:c r="L34" s="23" t="n">
        <x:v>10</x:v>
      </x:c>
      <x:c r="M34" s="23" t="n">
        <x:v>30</x:v>
      </x:c>
      <x:c r="N34" s="24" t="n">
        <x:v>5.24</x:v>
      </x:c>
      <x:c r="O34" s="24" t="n">
        <x:v>2.88</x:v>
      </x:c>
      <x:c r="P34" s="24" t="n">
        <x:v>0.06</x:v>
      </x:c>
      <x:c r="Q34" s="21" t="str">
        <x:v>None</x:v>
      </x:c>
      <x:c r="R34" s="14" t="n">
        <x:f>J34+K34</x:f>
        <x:v>337182</x:v>
      </x:c>
      <x:c r="S34" s="25" t="n">
        <x:f>J34*L34/1000000</x:f>
        <x:v>2.30814</x:v>
      </x:c>
      <x:c r="T34" s="25" t="n">
        <x:f>K34*M34/1000000</x:f>
        <x:v>3.19104</x:v>
      </x:c>
      <x:c r="U34" s="25" t="n">
        <x:f>SUM(S34:T34)</x:f>
        <x:v>5.49918</x:v>
      </x:c>
      <x:c r="V34" s="15" t="n">
        <x:f>N34-O34</x:f>
        <x:v>2.3600000000000003</x:v>
      </x:c>
      <x:c r="W34" s="25" t="n">
        <x:f>V34*$B$3</x:f>
        <x:v>118.00000000000001</x:v>
      </x:c>
      <x:c r="X34" s="25" t="n">
        <x:f>W34-U34</x:f>
        <x:v>112.50082000000002</x:v>
      </x:c>
    </x:row>
    <x:row r="35" ht="23" customHeight="1">
      <x:c r="A35" s="21" t="str">
        <x:v>W0029</x:v>
      </x:c>
      <x:c r="B35" s="22" t="n">
        <x:v>46273</x:v>
      </x:c>
      <x:c r="C35" s="21" t="str">
        <x:v>Campaign 1</x:v>
      </x:c>
      <x:c r="D35" s="21" t="str">
        <x:v>Marketing Operations</x:v>
      </x:c>
      <x:c r="E35" s="21" t="str">
        <x:v>Casey Rivera</x:v>
      </x:c>
      <x:c r="F35" s="21" t="str">
        <x:v>CopyStudio</x:v>
      </x:c>
      <x:c r="G35" s="21" t="str">
        <x:v>Lite</x:v>
      </x:c>
      <x:c r="H35" s="21" t="str">
        <x:v>Clean audience data</x:v>
      </x:c>
      <x:c r="I35" s="23" t="n">
        <x:v>9</x:v>
      </x:c>
      <x:c r="J35" s="23" t="n">
        <x:v>433133</x:v>
      </x:c>
      <x:c r="K35" s="23" t="n">
        <x:v>90151</x:v>
      </x:c>
      <x:c r="L35" s="23" t="n">
        <x:v>10</x:v>
      </x:c>
      <x:c r="M35" s="23" t="n">
        <x:v>30</x:v>
      </x:c>
      <x:c r="N35" s="24" t="n">
        <x:v>3.78</x:v>
      </x:c>
      <x:c r="O35" s="24" t="n">
        <x:v>1.83</x:v>
      </x:c>
      <x:c r="P35" s="24" t="n">
        <x:v>0.14</x:v>
      </x:c>
      <x:c r="Q35" s="21" t="str">
        <x:v>Unclear prompt</x:v>
      </x:c>
      <x:c r="R35" s="14" t="n">
        <x:f>J35+K35</x:f>
        <x:v>523284</x:v>
      </x:c>
      <x:c r="S35" s="25" t="n">
        <x:f>J35*L35/1000000</x:f>
        <x:v>4.33133</x:v>
      </x:c>
      <x:c r="T35" s="25" t="n">
        <x:f>K35*M35/1000000</x:f>
        <x:v>2.70453</x:v>
      </x:c>
      <x:c r="U35" s="25" t="n">
        <x:f>SUM(S35:T35)</x:f>
        <x:v>7.0358600000000004</x:v>
      </x:c>
      <x:c r="V35" s="15" t="n">
        <x:f>N35-O35</x:f>
        <x:v>1.9499999999999997</x:v>
      </x:c>
      <x:c r="W35" s="25" t="n">
        <x:f>V35*$B$3</x:f>
        <x:v>97.49999999999999</x:v>
      </x:c>
      <x:c r="X35" s="25" t="n">
        <x:f>W35-U35</x:f>
        <x:v>90.46413999999999</x:v>
      </x:c>
    </x:row>
    <x:row r="36" ht="23" customHeight="1">
      <x:c r="A36" s="21" t="str">
        <x:v>W0030</x:v>
      </x:c>
      <x:c r="B36" s="22" t="n">
        <x:v>46282</x:v>
      </x:c>
      <x:c r="C36" s="21" t="str">
        <x:v>Campaign 1</x:v>
      </x:c>
      <x:c r="D36" s="21" t="str">
        <x:v>Marketing Operations</x:v>
      </x:c>
      <x:c r="E36" s="21" t="str">
        <x:v>Morgan Reed</x:v>
      </x:c>
      <x:c r="F36" s="21" t="str">
        <x:v>DataFlow</x:v>
      </x:c>
      <x:c r="G36" s="21" t="str">
        <x:v>Lite</x:v>
      </x:c>
      <x:c r="H36" s="21" t="str">
        <x:v>Prepare launch checklist</x:v>
      </x:c>
      <x:c r="I36" s="23" t="n">
        <x:v>7</x:v>
      </x:c>
      <x:c r="J36" s="23" t="n">
        <x:v>332653</x:v>
      </x:c>
      <x:c r="K36" s="23" t="n">
        <x:v>62817</x:v>
      </x:c>
      <x:c r="L36" s="23" t="n">
        <x:v>10</x:v>
      </x:c>
      <x:c r="M36" s="23" t="n">
        <x:v>30</x:v>
      </x:c>
      <x:c r="N36" s="24" t="n">
        <x:v>4.56</x:v>
      </x:c>
      <x:c r="O36" s="24" t="n">
        <x:v>2.18</x:v>
      </x:c>
      <x:c r="P36" s="24" t="n">
        <x:v>0.22</x:v>
      </x:c>
      <x:c r="Q36" s="21" t="str">
        <x:v>None</x:v>
      </x:c>
      <x:c r="R36" s="14" t="n">
        <x:f>J36+K36</x:f>
        <x:v>395470</x:v>
      </x:c>
      <x:c r="S36" s="25" t="n">
        <x:f>J36*L36/1000000</x:f>
        <x:v>3.32653</x:v>
      </x:c>
      <x:c r="T36" s="25" t="n">
        <x:f>K36*M36/1000000</x:f>
        <x:v>1.88451</x:v>
      </x:c>
      <x:c r="U36" s="25" t="n">
        <x:f>SUM(S36:T36)</x:f>
        <x:v>5.21104</x:v>
      </x:c>
      <x:c r="V36" s="15" t="n">
        <x:f>N36-O36</x:f>
        <x:v>2.3799999999999994</x:v>
      </x:c>
      <x:c r="W36" s="25" t="n">
        <x:f>V36*$B$3</x:f>
        <x:v>118.99999999999997</x:v>
      </x:c>
      <x:c r="X36" s="25" t="n">
        <x:f>W36-U36</x:f>
        <x:v>113.78895999999997</x:v>
      </x:c>
    </x:row>
    <x:row r="37" ht="23" customHeight="1">
      <x:c r="A37" s="21" t="str">
        <x:v>W0031</x:v>
      </x:c>
      <x:c r="B37" s="22" t="n">
        <x:v>46293</x:v>
      </x:c>
      <x:c r="C37" s="21" t="str">
        <x:v>Campaign 1</x:v>
      </x:c>
      <x:c r="D37" s="21" t="str">
        <x:v>Analytics</x:v>
      </x:c>
      <x:c r="E37" s="21" t="str">
        <x:v>Quinn Parker</x:v>
      </x:c>
      <x:c r="F37" s="21" t="str">
        <x:v>InsightDesk</x:v>
      </x:c>
      <x:c r="G37" s="21" t="str">
        <x:v>Lite</x:v>
      </x:c>
      <x:c r="H37" s="21" t="str">
        <x:v>Analyze campaign results</x:v>
      </x:c>
      <x:c r="I37" s="23" t="n">
        <x:v>8</x:v>
      </x:c>
      <x:c r="J37" s="23" t="n">
        <x:v>447950</x:v>
      </x:c>
      <x:c r="K37" s="23" t="n">
        <x:v>43142</x:v>
      </x:c>
      <x:c r="L37" s="23" t="n">
        <x:v>10</x:v>
      </x:c>
      <x:c r="M37" s="23" t="n">
        <x:v>30</x:v>
      </x:c>
      <x:c r="N37" s="24" t="n">
        <x:v>4.75</x:v>
      </x:c>
      <x:c r="O37" s="24" t="n">
        <x:v>2.46</x:v>
      </x:c>
      <x:c r="P37" s="24" t="n">
        <x:v>0.23</x:v>
      </x:c>
      <x:c r="Q37" s="21" t="str">
        <x:v>Unclear prompt</x:v>
      </x:c>
      <x:c r="R37" s="14" t="n">
        <x:f>J37+K37</x:f>
        <x:v>491092</x:v>
      </x:c>
      <x:c r="S37" s="25" t="n">
        <x:f>J37*L37/1000000</x:f>
        <x:v>4.4795</x:v>
      </x:c>
      <x:c r="T37" s="25" t="n">
        <x:f>K37*M37/1000000</x:f>
        <x:v>1.29426</x:v>
      </x:c>
      <x:c r="U37" s="25" t="n">
        <x:f>SUM(S37:T37)</x:f>
        <x:v>5.773759999999999</x:v>
      </x:c>
      <x:c r="V37" s="15" t="n">
        <x:f>N37-O37</x:f>
        <x:v>2.29</x:v>
      </x:c>
      <x:c r="W37" s="25" t="n">
        <x:f>V37*$B$3</x:f>
        <x:v>114.5</x:v>
      </x:c>
      <x:c r="X37" s="25" t="n">
        <x:f>W37-U37</x:f>
        <x:v>108.72624</x:v>
      </x:c>
    </x:row>
    <x:row r="38" ht="23" customHeight="1">
      <x:c r="A38" s="21" t="str">
        <x:v>W0032</x:v>
      </x:c>
      <x:c r="B38" s="22" t="n">
        <x:v>46276</x:v>
      </x:c>
      <x:c r="C38" s="21" t="str">
        <x:v>Campaign 1</x:v>
      </x:c>
      <x:c r="D38" s="21" t="str">
        <x:v>Analytics</x:v>
      </x:c>
      <x:c r="E38" s="21" t="str">
        <x:v>Jamie Patel</x:v>
      </x:c>
      <x:c r="F38" s="21" t="str">
        <x:v>InsightDesk</x:v>
      </x:c>
      <x:c r="G38" s="21" t="str">
        <x:v>Lite</x:v>
      </x:c>
      <x:c r="H38" s="21" t="str">
        <x:v>Summarize audience insights</x:v>
      </x:c>
      <x:c r="I38" s="23" t="n">
        <x:v>11</x:v>
      </x:c>
      <x:c r="J38" s="23" t="n">
        <x:v>255955</x:v>
      </x:c>
      <x:c r="K38" s="23" t="n">
        <x:v>108179</x:v>
      </x:c>
      <x:c r="L38" s="23" t="n">
        <x:v>10</x:v>
      </x:c>
      <x:c r="M38" s="23" t="n">
        <x:v>30</x:v>
      </x:c>
      <x:c r="N38" s="24" t="n">
        <x:v>2.95</x:v>
      </x:c>
      <x:c r="O38" s="24" t="n">
        <x:v>1.7</x:v>
      </x:c>
      <x:c r="P38" s="24" t="n">
        <x:v>0.05</x:v>
      </x:c>
      <x:c r="Q38" s="21" t="str">
        <x:v>None</x:v>
      </x:c>
      <x:c r="R38" s="14" t="n">
        <x:f>J38+K38</x:f>
        <x:v>364134</x:v>
      </x:c>
      <x:c r="S38" s="25" t="n">
        <x:f>J38*L38/1000000</x:f>
        <x:v>2.55955</x:v>
      </x:c>
      <x:c r="T38" s="25" t="n">
        <x:f>K38*M38/1000000</x:f>
        <x:v>3.24537</x:v>
      </x:c>
      <x:c r="U38" s="25" t="n">
        <x:f>SUM(S38:T38)</x:f>
        <x:v>5.80492</x:v>
      </x:c>
      <x:c r="V38" s="15" t="n">
        <x:f>N38-O38</x:f>
        <x:v>1.2500000000000002</x:v>
      </x:c>
      <x:c r="W38" s="25" t="n">
        <x:f>V38*$B$3</x:f>
        <x:v>62.500000000000014</x:v>
      </x:c>
      <x:c r="X38" s="25" t="n">
        <x:f>W38-U38</x:f>
        <x:v>56.69508000000001</x:v>
      </x:c>
    </x:row>
    <x:row r="39" ht="23" customHeight="1">
      <x:c r="A39" s="21" t="str">
        <x:v>W0033</x:v>
      </x:c>
      <x:c r="B39" s="22" t="n">
        <x:v>46287</x:v>
      </x:c>
      <x:c r="C39" s="21" t="str">
        <x:v>Campaign 1</x:v>
      </x:c>
      <x:c r="D39" s="21" t="str">
        <x:v>Content</x:v>
      </x:c>
      <x:c r="E39" s="21" t="str">
        <x:v>Avery Morgan</x:v>
      </x:c>
      <x:c r="F39" s="21" t="str">
        <x:v>CopyStudio</x:v>
      </x:c>
      <x:c r="G39" s="21" t="str">
        <x:v>Lite</x:v>
      </x:c>
      <x:c r="H39" s="21" t="str">
        <x:v>Edit landing page</x:v>
      </x:c>
      <x:c r="I39" s="23" t="n">
        <x:v>10</x:v>
      </x:c>
      <x:c r="J39" s="23" t="n">
        <x:v>263264</x:v>
      </x:c>
      <x:c r="K39" s="23" t="n">
        <x:v>105355</x:v>
      </x:c>
      <x:c r="L39" s="23" t="n">
        <x:v>10</x:v>
      </x:c>
      <x:c r="M39" s="23" t="n">
        <x:v>30</x:v>
      </x:c>
      <x:c r="N39" s="24" t="n">
        <x:v>3.66</x:v>
      </x:c>
      <x:c r="O39" s="24" t="n">
        <x:v>1.57</x:v>
      </x:c>
      <x:c r="P39" s="24" t="n">
        <x:v>0.24</x:v>
      </x:c>
      <x:c r="Q39" s="21" t="str">
        <x:v>Data problem</x:v>
      </x:c>
      <x:c r="R39" s="14" t="n">
        <x:f>J39+K39</x:f>
        <x:v>368619</x:v>
      </x:c>
      <x:c r="S39" s="25" t="n">
        <x:f>J39*L39/1000000</x:f>
        <x:v>2.63264</x:v>
      </x:c>
      <x:c r="T39" s="25" t="n">
        <x:f>K39*M39/1000000</x:f>
        <x:v>3.16065</x:v>
      </x:c>
      <x:c r="U39" s="25" t="n">
        <x:f>SUM(S39:T39)</x:f>
        <x:v>5.79329</x:v>
      </x:c>
      <x:c r="V39" s="15" t="n">
        <x:f>N39-O39</x:f>
        <x:v>2.09</x:v>
      </x:c>
      <x:c r="W39" s="25" t="n">
        <x:f>V39*$B$3</x:f>
        <x:v>104.5</x:v>
      </x:c>
      <x:c r="X39" s="25" t="n">
        <x:f>W39-U39</x:f>
        <x:v>98.70671</x:v>
      </x:c>
    </x:row>
    <x:row r="40" ht="23" customHeight="1">
      <x:c r="A40" s="21" t="str">
        <x:v>W0034</x:v>
      </x:c>
      <x:c r="B40" s="22" t="n">
        <x:v>46269</x:v>
      </x:c>
      <x:c r="C40" s="21" t="str">
        <x:v>Campaign 1</x:v>
      </x:c>
      <x:c r="D40" s="21" t="str">
        <x:v>Content</x:v>
      </x:c>
      <x:c r="E40" s="21" t="str">
        <x:v>Jordan Ellis</x:v>
      </x:c>
      <x:c r="F40" s="21" t="str">
        <x:v>CopyStudio</x:v>
      </x:c>
      <x:c r="G40" s="21" t="str">
        <x:v>Lite</x:v>
      </x:c>
      <x:c r="H40" s="21" t="str">
        <x:v>Write ad copy</x:v>
      </x:c>
      <x:c r="I40" s="23" t="n">
        <x:v>10</x:v>
      </x:c>
      <x:c r="J40" s="23" t="n">
        <x:v>497355</x:v>
      </x:c>
      <x:c r="K40" s="23" t="n">
        <x:v>97642</x:v>
      </x:c>
      <x:c r="L40" s="23" t="n">
        <x:v>10</x:v>
      </x:c>
      <x:c r="M40" s="23" t="n">
        <x:v>30</x:v>
      </x:c>
      <x:c r="N40" s="24" t="n">
        <x:v>4.06</x:v>
      </x:c>
      <x:c r="O40" s="24" t="n">
        <x:v>1.46</x:v>
      </x:c>
      <x:c r="P40" s="24" t="n">
        <x:v>0.06</x:v>
      </x:c>
      <x:c r="Q40" s="21" t="str">
        <x:v>None</x:v>
      </x:c>
      <x:c r="R40" s="14" t="n">
        <x:f>J40+K40</x:f>
        <x:v>594997</x:v>
      </x:c>
      <x:c r="S40" s="25" t="n">
        <x:f>J40*L40/1000000</x:f>
        <x:v>4.97355</x:v>
      </x:c>
      <x:c r="T40" s="25" t="n">
        <x:f>K40*M40/1000000</x:f>
        <x:v>2.92926</x:v>
      </x:c>
      <x:c r="U40" s="25" t="n">
        <x:f>SUM(S40:T40)</x:f>
        <x:v>7.902810000000001</x:v>
      </x:c>
      <x:c r="V40" s="15" t="n">
        <x:f>N40-O40</x:f>
        <x:v>2.5999999999999996</x:v>
      </x:c>
      <x:c r="W40" s="25" t="n">
        <x:f>V40*$B$3</x:f>
        <x:v>129.99999999999997</x:v>
      </x:c>
      <x:c r="X40" s="25" t="n">
        <x:f>W40-U40</x:f>
        <x:v>122.09718999999997</x:v>
      </x:c>
    </x:row>
    <x:row r="41" ht="23" customHeight="1">
      <x:c r="A41" s="21" t="str">
        <x:v>W0035</x:v>
      </x:c>
      <x:c r="B41" s="22" t="n">
        <x:v>46281</x:v>
      </x:c>
      <x:c r="C41" s="21" t="str">
        <x:v>Campaign 1</x:v>
      </x:c>
      <x:c r="D41" s="21" t="str">
        <x:v>Creative</x:v>
      </x:c>
      <x:c r="E41" s="21" t="str">
        <x:v>Riley Chen</x:v>
      </x:c>
      <x:c r="F41" s="21" t="str">
        <x:v>CampaignChat</x:v>
      </x:c>
      <x:c r="G41" s="21" t="str">
        <x:v>Lite</x:v>
      </x:c>
      <x:c r="H41" s="21" t="str">
        <x:v>Review creative variants</x:v>
      </x:c>
      <x:c r="I41" s="23" t="n">
        <x:v>7</x:v>
      </x:c>
      <x:c r="J41" s="23" t="n">
        <x:v>220774</x:v>
      </x:c>
      <x:c r="K41" s="23" t="n">
        <x:v>39464</x:v>
      </x:c>
      <x:c r="L41" s="23" t="n">
        <x:v>10</x:v>
      </x:c>
      <x:c r="M41" s="23" t="n">
        <x:v>30</x:v>
      </x:c>
      <x:c r="N41" s="24" t="n">
        <x:v>4.68</x:v>
      </x:c>
      <x:c r="O41" s="24" t="n">
        <x:v>1.65</x:v>
      </x:c>
      <x:c r="P41" s="24" t="n">
        <x:v>0.11</x:v>
      </x:c>
      <x:c r="Q41" s="21" t="str">
        <x:v>Data problem</x:v>
      </x:c>
      <x:c r="R41" s="14" t="n">
        <x:f>J41+K41</x:f>
        <x:v>260238</x:v>
      </x:c>
      <x:c r="S41" s="25" t="n">
        <x:f>J41*L41/1000000</x:f>
        <x:v>2.20774</x:v>
      </x:c>
      <x:c r="T41" s="25" t="n">
        <x:f>K41*M41/1000000</x:f>
        <x:v>1.18392</x:v>
      </x:c>
      <x:c r="U41" s="25" t="n">
        <x:f>SUM(S41:T41)</x:f>
        <x:v>3.39166</x:v>
      </x:c>
      <x:c r="V41" s="15" t="n">
        <x:f>N41-O41</x:f>
        <x:v>3.03</x:v>
      </x:c>
      <x:c r="W41" s="25" t="n">
        <x:f>V41*$B$3</x:f>
        <x:v>151.5</x:v>
      </x:c>
      <x:c r="X41" s="25" t="n">
        <x:f>W41-U41</x:f>
        <x:v>148.10834</x:v>
      </x:c>
    </x:row>
    <x:row r="42" ht="23" customHeight="1">
      <x:c r="A42" s="21" t="str">
        <x:v>W0036</x:v>
      </x:c>
      <x:c r="B42" s="22" t="n">
        <x:v>46290</x:v>
      </x:c>
      <x:c r="C42" s="21" t="str">
        <x:v>Campaign 1</x:v>
      </x:c>
      <x:c r="D42" s="21" t="str">
        <x:v>Creative</x:v>
      </x:c>
      <x:c r="E42" s="21" t="str">
        <x:v>Taylor Brooks</x:v>
      </x:c>
      <x:c r="F42" s="21" t="str">
        <x:v>CampaignChat</x:v>
      </x:c>
      <x:c r="G42" s="21" t="str">
        <x:v>Lite</x:v>
      </x:c>
      <x:c r="H42" s="21" t="str">
        <x:v>Plan visual narrative</x:v>
      </x:c>
      <x:c r="I42" s="23" t="n">
        <x:v>11</x:v>
      </x:c>
      <x:c r="J42" s="23" t="n">
        <x:v>559461</x:v>
      </x:c>
      <x:c r="K42" s="23" t="n">
        <x:v>94747</x:v>
      </x:c>
      <x:c r="L42" s="23" t="n">
        <x:v>10</x:v>
      </x:c>
      <x:c r="M42" s="23" t="n">
        <x:v>30</x:v>
      </x:c>
      <x:c r="N42" s="24" t="n">
        <x:v>5</x:v>
      </x:c>
      <x:c r="O42" s="24" t="n">
        <x:v>2.28</x:v>
      </x:c>
      <x:c r="P42" s="24" t="n">
        <x:v>0.1</x:v>
      </x:c>
      <x:c r="Q42" s="21" t="str">
        <x:v>Data problem</x:v>
      </x:c>
      <x:c r="R42" s="14" t="n">
        <x:f>J42+K42</x:f>
        <x:v>654208</x:v>
      </x:c>
      <x:c r="S42" s="25" t="n">
        <x:f>J42*L42/1000000</x:f>
        <x:v>5.59461</x:v>
      </x:c>
      <x:c r="T42" s="25" t="n">
        <x:f>K42*M42/1000000</x:f>
        <x:v>2.84241</x:v>
      </x:c>
      <x:c r="U42" s="25" t="n">
        <x:f>SUM(S42:T42)</x:f>
        <x:v>8.43702</x:v>
      </x:c>
      <x:c r="V42" s="15" t="n">
        <x:f>N42-O42</x:f>
        <x:v>2.72</x:v>
      </x:c>
      <x:c r="W42" s="25" t="n">
        <x:f>V42*$B$3</x:f>
        <x:v>136</x:v>
      </x:c>
      <x:c r="X42" s="25" t="n">
        <x:f>W42-U42</x:f>
        <x:v>127.56298</x:v>
      </x:c>
    </x:row>
    <x:row r="43" ht="23" customHeight="1">
      <x:c r="A43" s="21" t="str">
        <x:v>W0037</x:v>
      </x:c>
      <x:c r="B43" s="22" t="n">
        <x:v>46275</x:v>
      </x:c>
      <x:c r="C43" s="21" t="str">
        <x:v>Campaign 1</x:v>
      </x:c>
      <x:c r="D43" s="21" t="str">
        <x:v>Marketing Operations</x:v>
      </x:c>
      <x:c r="E43" s="21" t="str">
        <x:v>Casey Rivera</x:v>
      </x:c>
      <x:c r="F43" s="21" t="str">
        <x:v>DataFlow</x:v>
      </x:c>
      <x:c r="G43" s="21" t="str">
        <x:v>Lite</x:v>
      </x:c>
      <x:c r="H43" s="21" t="str">
        <x:v>Build campaign plan</x:v>
      </x:c>
      <x:c r="I43" s="23" t="n">
        <x:v>11</x:v>
      </x:c>
      <x:c r="J43" s="23" t="n">
        <x:v>472175</x:v>
      </x:c>
      <x:c r="K43" s="23" t="n">
        <x:v>123639</x:v>
      </x:c>
      <x:c r="L43" s="23" t="n">
        <x:v>10</x:v>
      </x:c>
      <x:c r="M43" s="23" t="n">
        <x:v>30</x:v>
      </x:c>
      <x:c r="N43" s="24" t="n">
        <x:v>3.62</x:v>
      </x:c>
      <x:c r="O43" s="24" t="n">
        <x:v>1.65</x:v>
      </x:c>
      <x:c r="P43" s="24" t="n">
        <x:v>0.24</x:v>
      </x:c>
      <x:c r="Q43" s="21" t="str">
        <x:v>Brief changed</x:v>
      </x:c>
      <x:c r="R43" s="14" t="n">
        <x:f>J43+K43</x:f>
        <x:v>595814</x:v>
      </x:c>
      <x:c r="S43" s="25" t="n">
        <x:f>J43*L43/1000000</x:f>
        <x:v>4.72175</x:v>
      </x:c>
      <x:c r="T43" s="25" t="n">
        <x:f>K43*M43/1000000</x:f>
        <x:v>3.70917</x:v>
      </x:c>
      <x:c r="U43" s="25" t="n">
        <x:f>SUM(S43:T43)</x:f>
        <x:v>8.43092</x:v>
      </x:c>
      <x:c r="V43" s="15" t="n">
        <x:f>N43-O43</x:f>
        <x:v>1.9700000000000002</x:v>
      </x:c>
      <x:c r="W43" s="25" t="n">
        <x:f>V43*$B$3</x:f>
        <x:v>98.50000000000001</x:v>
      </x:c>
      <x:c r="X43" s="25" t="n">
        <x:f>W43-U43</x:f>
        <x:v>90.06908000000001</x:v>
      </x:c>
    </x:row>
    <x:row r="44" ht="23" customHeight="1">
      <x:c r="A44" s="21" t="str">
        <x:v>W0038</x:v>
      </x:c>
      <x:c r="B44" s="22" t="n">
        <x:v>46286</x:v>
      </x:c>
      <x:c r="C44" s="21" t="str">
        <x:v>Campaign 1</x:v>
      </x:c>
      <x:c r="D44" s="21" t="str">
        <x:v>Marketing Operations</x:v>
      </x:c>
      <x:c r="E44" s="21" t="str">
        <x:v>Morgan Reed</x:v>
      </x:c>
      <x:c r="F44" s="21" t="str">
        <x:v>DataFlow</x:v>
      </x:c>
      <x:c r="G44" s="21" t="str">
        <x:v>Pro</x:v>
      </x:c>
      <x:c r="H44" s="21" t="str">
        <x:v>Clean audience data</x:v>
      </x:c>
      <x:c r="I44" s="23" t="n">
        <x:v>10</x:v>
      </x:c>
      <x:c r="J44" s="23" t="n">
        <x:v>104495</x:v>
      </x:c>
      <x:c r="K44" s="23" t="n">
        <x:v>106942</x:v>
      </x:c>
      <x:c r="L44" s="23" t="n">
        <x:v>40</x:v>
      </x:c>
      <x:c r="M44" s="23" t="n">
        <x:v>100</x:v>
      </x:c>
      <x:c r="N44" s="24" t="n">
        <x:v>3.42</x:v>
      </x:c>
      <x:c r="O44" s="24" t="n">
        <x:v>1.77</x:v>
      </x:c>
      <x:c r="P44" s="24" t="n">
        <x:v>0.12</x:v>
      </x:c>
      <x:c r="Q44" s="21" t="str">
        <x:v>None</x:v>
      </x:c>
      <x:c r="R44" s="14" t="n">
        <x:f>J44+K44</x:f>
        <x:v>211437</x:v>
      </x:c>
      <x:c r="S44" s="25" t="n">
        <x:f>J44*L44/1000000</x:f>
        <x:v>4.1798</x:v>
      </x:c>
      <x:c r="T44" s="25" t="n">
        <x:f>K44*M44/1000000</x:f>
        <x:v>10.6942</x:v>
      </x:c>
      <x:c r="U44" s="25" t="n">
        <x:f>SUM(S44:T44)</x:f>
        <x:v>14.874</x:v>
      </x:c>
      <x:c r="V44" s="15" t="n">
        <x:f>N44-O44</x:f>
        <x:v>1.65</x:v>
      </x:c>
      <x:c r="W44" s="25" t="n">
        <x:f>V44*$B$3</x:f>
        <x:v>82.5</x:v>
      </x:c>
      <x:c r="X44" s="25" t="n">
        <x:f>W44-U44</x:f>
        <x:v>67.626</x:v>
      </x:c>
    </x:row>
    <x:row r="45" ht="23" customHeight="1">
      <x:c r="A45" s="21" t="str">
        <x:v>W0039</x:v>
      </x:c>
      <x:c r="B45" s="22" t="n">
        <x:v>46295</x:v>
      </x:c>
      <x:c r="C45" s="21" t="str">
        <x:v>Campaign 1</x:v>
      </x:c>
      <x:c r="D45" s="21" t="str">
        <x:v>Analytics</x:v>
      </x:c>
      <x:c r="E45" s="21" t="str">
        <x:v>Quinn Parker</x:v>
      </x:c>
      <x:c r="F45" s="21" t="str">
        <x:v>InsightDesk</x:v>
      </x:c>
      <x:c r="G45" s="21" t="str">
        <x:v>Lite</x:v>
      </x:c>
      <x:c r="H45" s="21" t="str">
        <x:v>Check measurement plan</x:v>
      </x:c>
      <x:c r="I45" s="23" t="n">
        <x:v>9</x:v>
      </x:c>
      <x:c r="J45" s="23" t="n">
        <x:v>510223</x:v>
      </x:c>
      <x:c r="K45" s="23" t="n">
        <x:v>48659</x:v>
      </x:c>
      <x:c r="L45" s="23" t="n">
        <x:v>10</x:v>
      </x:c>
      <x:c r="M45" s="23" t="n">
        <x:v>30</x:v>
      </x:c>
      <x:c r="N45" s="24" t="n">
        <x:v>3.13</x:v>
      </x:c>
      <x:c r="O45" s="24" t="n">
        <x:v>1.05</x:v>
      </x:c>
      <x:c r="P45" s="24" t="n">
        <x:v>0.07</x:v>
      </x:c>
      <x:c r="Q45" s="21" t="str">
        <x:v>None</x:v>
      </x:c>
      <x:c r="R45" s="14" t="n">
        <x:f>J45+K45</x:f>
        <x:v>558882</x:v>
      </x:c>
      <x:c r="S45" s="25" t="n">
        <x:f>J45*L45/1000000</x:f>
        <x:v>5.10223</x:v>
      </x:c>
      <x:c r="T45" s="25" t="n">
        <x:f>K45*M45/1000000</x:f>
        <x:v>1.45977</x:v>
      </x:c>
      <x:c r="U45" s="25" t="n">
        <x:f>SUM(S45:T45)</x:f>
        <x:v>6.561999999999999</x:v>
      </x:c>
      <x:c r="V45" s="15" t="n">
        <x:f>N45-O45</x:f>
        <x:v>2.08</x:v>
      </x:c>
      <x:c r="W45" s="25" t="n">
        <x:f>V45*$B$3</x:f>
        <x:v>104</x:v>
      </x:c>
      <x:c r="X45" s="25" t="n">
        <x:f>W45-U45</x:f>
        <x:v>97.438</x:v>
      </x:c>
    </x:row>
    <x:row r="46" ht="23" customHeight="1">
      <x:c r="A46" s="21" t="str">
        <x:v>W0040</x:v>
      </x:c>
      <x:c r="B46" s="22" t="n">
        <x:v>46280</x:v>
      </x:c>
      <x:c r="C46" s="21" t="str">
        <x:v>Campaign 1</x:v>
      </x:c>
      <x:c r="D46" s="21" t="str">
        <x:v>Analytics</x:v>
      </x:c>
      <x:c r="E46" s="21" t="str">
        <x:v>Jamie Patel</x:v>
      </x:c>
      <x:c r="F46" s="21" t="str">
        <x:v>InsightDesk</x:v>
      </x:c>
      <x:c r="G46" s="21" t="str">
        <x:v>Lite</x:v>
      </x:c>
      <x:c r="H46" s="21" t="str">
        <x:v>Analyze campaign results</x:v>
      </x:c>
      <x:c r="I46" s="23" t="n">
        <x:v>9</x:v>
      </x:c>
      <x:c r="J46" s="23" t="n">
        <x:v>269052</x:v>
      </x:c>
      <x:c r="K46" s="23" t="n">
        <x:v>73144</x:v>
      </x:c>
      <x:c r="L46" s="23" t="n">
        <x:v>10</x:v>
      </x:c>
      <x:c r="M46" s="23" t="n">
        <x:v>30</x:v>
      </x:c>
      <x:c r="N46" s="24" t="n">
        <x:v>2.88</x:v>
      </x:c>
      <x:c r="O46" s="24" t="n">
        <x:v>1.65</x:v>
      </x:c>
      <x:c r="P46" s="24" t="n">
        <x:v>0.24</x:v>
      </x:c>
      <x:c r="Q46" s="21" t="str">
        <x:v>Brief changed</x:v>
      </x:c>
      <x:c r="R46" s="14" t="n">
        <x:f>J46+K46</x:f>
        <x:v>342196</x:v>
      </x:c>
      <x:c r="S46" s="25" t="n">
        <x:f>J46*L46/1000000</x:f>
        <x:v>2.69052</x:v>
      </x:c>
      <x:c r="T46" s="25" t="n">
        <x:f>K46*M46/1000000</x:f>
        <x:v>2.19432</x:v>
      </x:c>
      <x:c r="U46" s="25" t="n">
        <x:f>SUM(S46:T46)</x:f>
        <x:v>4.88484</x:v>
      </x:c>
      <x:c r="V46" s="15" t="n">
        <x:f>N46-O46</x:f>
        <x:v>1.23</x:v>
      </x:c>
      <x:c r="W46" s="25" t="n">
        <x:f>V46*$B$3</x:f>
        <x:v>61.5</x:v>
      </x:c>
      <x:c r="X46" s="25" t="n">
        <x:f>W46-U46</x:f>
        <x:v>56.61516</x:v>
      </x:c>
    </x:row>
    <x:row r="47" ht="23" customHeight="1">
      <x:c r="A47" s="21" t="str">
        <x:v>W0041</x:v>
      </x:c>
      <x:c r="B47" s="22" t="n">
        <x:v>46289</x:v>
      </x:c>
      <x:c r="C47" s="21" t="str">
        <x:v>Campaign 1</x:v>
      </x:c>
      <x:c r="D47" s="21" t="str">
        <x:v>Content</x:v>
      </x:c>
      <x:c r="E47" s="21" t="str">
        <x:v>Avery Morgan</x:v>
      </x:c>
      <x:c r="F47" s="21" t="str">
        <x:v>CopyStudio</x:v>
      </x:c>
      <x:c r="G47" s="21" t="str">
        <x:v>Lite</x:v>
      </x:c>
      <x:c r="H47" s="21" t="str">
        <x:v>Draft email sequence</x:v>
      </x:c>
      <x:c r="I47" s="23" t="n">
        <x:v>10</x:v>
      </x:c>
      <x:c r="J47" s="23" t="n">
        <x:v>552806</x:v>
      </x:c>
      <x:c r="K47" s="23" t="n">
        <x:v>72740</x:v>
      </x:c>
      <x:c r="L47" s="23" t="n">
        <x:v>10</x:v>
      </x:c>
      <x:c r="M47" s="23" t="n">
        <x:v>30</x:v>
      </x:c>
      <x:c r="N47" s="24" t="n">
        <x:v>3.67</x:v>
      </x:c>
      <x:c r="O47" s="24" t="n">
        <x:v>2.08</x:v>
      </x:c>
      <x:c r="P47" s="24" t="n">
        <x:v>0.13</x:v>
      </x:c>
      <x:c r="Q47" s="21" t="str">
        <x:v>None</x:v>
      </x:c>
      <x:c r="R47" s="14" t="n">
        <x:f>J47+K47</x:f>
        <x:v>625546</x:v>
      </x:c>
      <x:c r="S47" s="25" t="n">
        <x:f>J47*L47/1000000</x:f>
        <x:v>5.52806</x:v>
      </x:c>
      <x:c r="T47" s="25" t="n">
        <x:f>K47*M47/1000000</x:f>
        <x:v>2.1822</x:v>
      </x:c>
      <x:c r="U47" s="25" t="n">
        <x:f>SUM(S47:T47)</x:f>
        <x:v>7.71026</x:v>
      </x:c>
      <x:c r="V47" s="15" t="n">
        <x:f>N47-O47</x:f>
        <x:v>1.5899999999999999</x:v>
      </x:c>
      <x:c r="W47" s="25" t="n">
        <x:f>V47*$B$3</x:f>
        <x:v>79.5</x:v>
      </x:c>
      <x:c r="X47" s="25" t="n">
        <x:f>W47-U47</x:f>
        <x:v>71.78974</x:v>
      </x:c>
    </x:row>
    <x:row r="48" ht="23" customHeight="1">
      <x:c r="A48" s="21" t="str">
        <x:v>W0042</x:v>
      </x:c>
      <x:c r="B48" s="22" t="n">
        <x:v>46274</x:v>
      </x:c>
      <x:c r="C48" s="21" t="str">
        <x:v>Campaign 1</x:v>
      </x:c>
      <x:c r="D48" s="21" t="str">
        <x:v>Content</x:v>
      </x:c>
      <x:c r="E48" s="21" t="str">
        <x:v>Jordan Ellis</x:v>
      </x:c>
      <x:c r="F48" s="21" t="str">
        <x:v>CampaignChat</x:v>
      </x:c>
      <x:c r="G48" s="21" t="str">
        <x:v>Lite</x:v>
      </x:c>
      <x:c r="H48" s="21" t="str">
        <x:v>Edit landing page</x:v>
      </x:c>
      <x:c r="I48" s="23" t="n">
        <x:v>10</x:v>
      </x:c>
      <x:c r="J48" s="23" t="n">
        <x:v>224899</x:v>
      </x:c>
      <x:c r="K48" s="23" t="n">
        <x:v>68721</x:v>
      </x:c>
      <x:c r="L48" s="23" t="n">
        <x:v>10</x:v>
      </x:c>
      <x:c r="M48" s="23" t="n">
        <x:v>30</x:v>
      </x:c>
      <x:c r="N48" s="24" t="n">
        <x:v>4.17</x:v>
      </x:c>
      <x:c r="O48" s="24" t="n">
        <x:v>2.46</x:v>
      </x:c>
      <x:c r="P48" s="24" t="n">
        <x:v>0.32</x:v>
      </x:c>
      <x:c r="Q48" s="21" t="str">
        <x:v>Brief changed</x:v>
      </x:c>
      <x:c r="R48" s="14" t="n">
        <x:f>J48+K48</x:f>
        <x:v>293620</x:v>
      </x:c>
      <x:c r="S48" s="25" t="n">
        <x:f>J48*L48/1000000</x:f>
        <x:v>2.24899</x:v>
      </x:c>
      <x:c r="T48" s="25" t="n">
        <x:f>K48*M48/1000000</x:f>
        <x:v>2.06163</x:v>
      </x:c>
      <x:c r="U48" s="25" t="n">
        <x:f>SUM(S48:T48)</x:f>
        <x:v>4.31062</x:v>
      </x:c>
      <x:c r="V48" s="15" t="n">
        <x:f>N48-O48</x:f>
        <x:v>1.71</x:v>
      </x:c>
      <x:c r="W48" s="25" t="n">
        <x:f>V48*$B$3</x:f>
        <x:v>85.5</x:v>
      </x:c>
      <x:c r="X48" s="25" t="n">
        <x:f>W48-U48</x:f>
        <x:v>81.18938</x:v>
      </x:c>
    </x:row>
    <x:row r="49" ht="23" customHeight="1">
      <x:c r="A49" s="21" t="str">
        <x:v>W0043</x:v>
      </x:c>
      <x:c r="B49" s="22" t="n">
        <x:v>46283</x:v>
      </x:c>
      <x:c r="C49" s="21" t="str">
        <x:v>Campaign 1</x:v>
      </x:c>
      <x:c r="D49" s="21" t="str">
        <x:v>Creative</x:v>
      </x:c>
      <x:c r="E49" s="21" t="str">
        <x:v>Riley Chen</x:v>
      </x:c>
      <x:c r="F49" s="21" t="str">
        <x:v>CampaignChat</x:v>
      </x:c>
      <x:c r="G49" s="21" t="str">
        <x:v>Lite</x:v>
      </x:c>
      <x:c r="H49" s="21" t="str">
        <x:v>Develop concept brief</x:v>
      </x:c>
      <x:c r="I49" s="23" t="n">
        <x:v>10</x:v>
      </x:c>
      <x:c r="J49" s="23" t="n">
        <x:v>383868</x:v>
      </x:c>
      <x:c r="K49" s="23" t="n">
        <x:v>58416</x:v>
      </x:c>
      <x:c r="L49" s="23" t="n">
        <x:v>10</x:v>
      </x:c>
      <x:c r="M49" s="23" t="n">
        <x:v>30</x:v>
      </x:c>
      <x:c r="N49" s="24" t="n">
        <x:v>3.94</x:v>
      </x:c>
      <x:c r="O49" s="24" t="n">
        <x:v>1.79</x:v>
      </x:c>
      <x:c r="P49" s="24" t="n">
        <x:v>0.15</x:v>
      </x:c>
      <x:c r="Q49" s="21" t="str">
        <x:v>None</x:v>
      </x:c>
      <x:c r="R49" s="14" t="n">
        <x:f>J49+K49</x:f>
        <x:v>442284</x:v>
      </x:c>
      <x:c r="S49" s="25" t="n">
        <x:f>J49*L49/1000000</x:f>
        <x:v>3.83868</x:v>
      </x:c>
      <x:c r="T49" s="25" t="n">
        <x:f>K49*M49/1000000</x:f>
        <x:v>1.75248</x:v>
      </x:c>
      <x:c r="U49" s="25" t="n">
        <x:f>SUM(S49:T49)</x:f>
        <x:v>5.59116</x:v>
      </x:c>
      <x:c r="V49" s="15" t="n">
        <x:f>N49-O49</x:f>
        <x:v>2.15</x:v>
      </x:c>
      <x:c r="W49" s="25" t="n">
        <x:f>V49*$B$3</x:f>
        <x:v>107.5</x:v>
      </x:c>
      <x:c r="X49" s="25" t="n">
        <x:f>W49-U49</x:f>
        <x:v>101.90884</x:v>
      </x:c>
    </x:row>
    <x:row r="50" ht="23" customHeight="1">
      <x:c r="A50" s="21" t="str">
        <x:v>W0044</x:v>
      </x:c>
      <x:c r="B50" s="22" t="n">
        <x:v>46294</x:v>
      </x:c>
      <x:c r="C50" s="21" t="str">
        <x:v>Campaign 1</x:v>
      </x:c>
      <x:c r="D50" s="21" t="str">
        <x:v>Creative</x:v>
      </x:c>
      <x:c r="E50" s="21" t="str">
        <x:v>Taylor Brooks</x:v>
      </x:c>
      <x:c r="F50" s="21" t="str">
        <x:v>CampaignChat</x:v>
      </x:c>
      <x:c r="G50" s="21" t="str">
        <x:v>Pro</x:v>
      </x:c>
      <x:c r="H50" s="21" t="str">
        <x:v>Review creative variants</x:v>
      </x:c>
      <x:c r="I50" s="23" t="n">
        <x:v>11</x:v>
      </x:c>
      <x:c r="J50" s="23" t="n">
        <x:v>235395</x:v>
      </x:c>
      <x:c r="K50" s="23" t="n">
        <x:v>79156</x:v>
      </x:c>
      <x:c r="L50" s="23" t="n">
        <x:v>40</x:v>
      </x:c>
      <x:c r="M50" s="23" t="n">
        <x:v>100</x:v>
      </x:c>
      <x:c r="N50" s="24" t="n">
        <x:v>4.33</x:v>
      </x:c>
      <x:c r="O50" s="24" t="n">
        <x:v>2.1</x:v>
      </x:c>
      <x:c r="P50" s="24" t="n">
        <x:v>0.05</x:v>
      </x:c>
      <x:c r="Q50" s="21" t="str">
        <x:v>None</x:v>
      </x:c>
      <x:c r="R50" s="14" t="n">
        <x:f>J50+K50</x:f>
        <x:v>314551</x:v>
      </x:c>
      <x:c r="S50" s="25" t="n">
        <x:f>J50*L50/1000000</x:f>
        <x:v>9.4158</x:v>
      </x:c>
      <x:c r="T50" s="25" t="n">
        <x:f>K50*M50/1000000</x:f>
        <x:v>7.9156</x:v>
      </x:c>
      <x:c r="U50" s="25" t="n">
        <x:f>SUM(S50:T50)</x:f>
        <x:v>17.331400000000002</x:v>
      </x:c>
      <x:c r="V50" s="15" t="n">
        <x:f>N50-O50</x:f>
        <x:v>2.23</x:v>
      </x:c>
      <x:c r="W50" s="25" t="n">
        <x:f>V50*$B$3</x:f>
        <x:v>111.5</x:v>
      </x:c>
      <x:c r="X50" s="25" t="n">
        <x:f>W50-U50</x:f>
        <x:v>94.1686</x:v>
      </x:c>
    </x:row>
    <x:row r="51" ht="23" customHeight="1">
      <x:c r="A51" s="21" t="str">
        <x:v>W0045</x:v>
      </x:c>
      <x:c r="B51" s="22" t="n">
        <x:v>46279</x:v>
      </x:c>
      <x:c r="C51" s="21" t="str">
        <x:v>Campaign 1</x:v>
      </x:c>
      <x:c r="D51" s="21" t="str">
        <x:v>Marketing Operations</x:v>
      </x:c>
      <x:c r="E51" s="21" t="str">
        <x:v>Casey Rivera</x:v>
      </x:c>
      <x:c r="F51" s="21" t="str">
        <x:v>DataFlow</x:v>
      </x:c>
      <x:c r="G51" s="21" t="str">
        <x:v>Lite</x:v>
      </x:c>
      <x:c r="H51" s="21" t="str">
        <x:v>Prepare launch checklist</x:v>
      </x:c>
      <x:c r="I51" s="23" t="n">
        <x:v>9</x:v>
      </x:c>
      <x:c r="J51" s="23" t="n">
        <x:v>339096</x:v>
      </x:c>
      <x:c r="K51" s="23" t="n">
        <x:v>56301</x:v>
      </x:c>
      <x:c r="L51" s="23" t="n">
        <x:v>10</x:v>
      </x:c>
      <x:c r="M51" s="23" t="n">
        <x:v>30</x:v>
      </x:c>
      <x:c r="N51" s="24" t="n">
        <x:v>4.64</x:v>
      </x:c>
      <x:c r="O51" s="24" t="n">
        <x:v>2.35</x:v>
      </x:c>
      <x:c r="P51" s="24" t="n">
        <x:v>0.32</x:v>
      </x:c>
      <x:c r="Q51" s="21" t="str">
        <x:v>Brief changed</x:v>
      </x:c>
      <x:c r="R51" s="14" t="n">
        <x:f>J51+K51</x:f>
        <x:v>395397</x:v>
      </x:c>
      <x:c r="S51" s="25" t="n">
        <x:f>J51*L51/1000000</x:f>
        <x:v>3.39096</x:v>
      </x:c>
      <x:c r="T51" s="25" t="n">
        <x:f>K51*M51/1000000</x:f>
        <x:v>1.68903</x:v>
      </x:c>
      <x:c r="U51" s="25" t="n">
        <x:f>SUM(S51:T51)</x:f>
        <x:v>5.0799900000000004</x:v>
      </x:c>
      <x:c r="V51" s="15" t="n">
        <x:f>N51-O51</x:f>
        <x:v>2.2899999999999996</x:v>
      </x:c>
      <x:c r="W51" s="25" t="n">
        <x:f>V51*$B$3</x:f>
        <x:v>114.49999999999999</x:v>
      </x:c>
      <x:c r="X51" s="25" t="n">
        <x:f>W51-U51</x:f>
        <x:v>109.42000999999999</x:v>
      </x:c>
    </x:row>
    <x:row r="52" ht="23" customHeight="1">
      <x:c r="A52" s="21" t="str">
        <x:v>W0046</x:v>
      </x:c>
      <x:c r="B52" s="22" t="n">
        <x:v>46288</x:v>
      </x:c>
      <x:c r="C52" s="21" t="str">
        <x:v>Campaign 1</x:v>
      </x:c>
      <x:c r="D52" s="21" t="str">
        <x:v>Marketing Operations</x:v>
      </x:c>
      <x:c r="E52" s="21" t="str">
        <x:v>Morgan Reed</x:v>
      </x:c>
      <x:c r="F52" s="21" t="str">
        <x:v>CampaignChat</x:v>
      </x:c>
      <x:c r="G52" s="21" t="str">
        <x:v>Lite</x:v>
      </x:c>
      <x:c r="H52" s="21" t="str">
        <x:v>Build campaign plan</x:v>
      </x:c>
      <x:c r="I52" s="23" t="n">
        <x:v>10</x:v>
      </x:c>
      <x:c r="J52" s="23" t="n">
        <x:v>536072</x:v>
      </x:c>
      <x:c r="K52" s="23" t="n">
        <x:v>82842</x:v>
      </x:c>
      <x:c r="L52" s="23" t="n">
        <x:v>10</x:v>
      </x:c>
      <x:c r="M52" s="23" t="n">
        <x:v>30</x:v>
      </x:c>
      <x:c r="N52" s="24" t="n">
        <x:v>4.96</x:v>
      </x:c>
      <x:c r="O52" s="24" t="n">
        <x:v>2.3</x:v>
      </x:c>
      <x:c r="P52" s="24" t="n">
        <x:v>0.03</x:v>
      </x:c>
      <x:c r="Q52" s="21" t="str">
        <x:v>None</x:v>
      </x:c>
      <x:c r="R52" s="14" t="n">
        <x:f>J52+K52</x:f>
        <x:v>618914</x:v>
      </x:c>
      <x:c r="S52" s="25" t="n">
        <x:f>J52*L52/1000000</x:f>
        <x:v>5.36072</x:v>
      </x:c>
      <x:c r="T52" s="25" t="n">
        <x:f>K52*M52/1000000</x:f>
        <x:v>2.48526</x:v>
      </x:c>
      <x:c r="U52" s="25" t="n">
        <x:f>SUM(S52:T52)</x:f>
        <x:v>7.845979999999999</x:v>
      </x:c>
      <x:c r="V52" s="15" t="n">
        <x:f>N52-O52</x:f>
        <x:v>2.66</x:v>
      </x:c>
      <x:c r="W52" s="25" t="n">
        <x:f>V52*$B$3</x:f>
        <x:v>133</x:v>
      </x:c>
      <x:c r="X52" s="25" t="n">
        <x:f>W52-U52</x:f>
        <x:v>125.15402</x:v>
      </x:c>
    </x:row>
    <x:row r="53" ht="23" customHeight="1">
      <x:c r="A53" s="21" t="str">
        <x:v>W0047</x:v>
      </x:c>
      <x:c r="B53" s="22" t="n">
        <x:v>46273</x:v>
      </x:c>
      <x:c r="C53" s="21" t="str">
        <x:v>Campaign 1</x:v>
      </x:c>
      <x:c r="D53" s="21" t="str">
        <x:v>Analytics</x:v>
      </x:c>
      <x:c r="E53" s="21" t="str">
        <x:v>Quinn Parker</x:v>
      </x:c>
      <x:c r="F53" s="21" t="str">
        <x:v>InsightDesk</x:v>
      </x:c>
      <x:c r="G53" s="21" t="str">
        <x:v>Lite</x:v>
      </x:c>
      <x:c r="H53" s="21" t="str">
        <x:v>Summarize audience insights</x:v>
      </x:c>
      <x:c r="I53" s="23" t="n">
        <x:v>11</x:v>
      </x:c>
      <x:c r="J53" s="23" t="n">
        <x:v>286730</x:v>
      </x:c>
      <x:c r="K53" s="23" t="n">
        <x:v>107270</x:v>
      </x:c>
      <x:c r="L53" s="23" t="n">
        <x:v>10</x:v>
      </x:c>
      <x:c r="M53" s="23" t="n">
        <x:v>30</x:v>
      </x:c>
      <x:c r="N53" s="24" t="n">
        <x:v>2.76</x:v>
      </x:c>
      <x:c r="O53" s="24" t="n">
        <x:v>1.65</x:v>
      </x:c>
      <x:c r="P53" s="24" t="n">
        <x:v>0.15</x:v>
      </x:c>
      <x:c r="Q53" s="21" t="str">
        <x:v>None</x:v>
      </x:c>
      <x:c r="R53" s="14" t="n">
        <x:f>J53+K53</x:f>
        <x:v>394000</x:v>
      </x:c>
      <x:c r="S53" s="25" t="n">
        <x:f>J53*L53/1000000</x:f>
        <x:v>2.8673</x:v>
      </x:c>
      <x:c r="T53" s="25" t="n">
        <x:f>K53*M53/1000000</x:f>
        <x:v>3.2181</x:v>
      </x:c>
      <x:c r="U53" s="25" t="n">
        <x:f>SUM(S53:T53)</x:f>
        <x:v>6.0854</x:v>
      </x:c>
      <x:c r="V53" s="15" t="n">
        <x:f>N53-O53</x:f>
        <x:v>1.1099999999999999</x:v>
      </x:c>
      <x:c r="W53" s="25" t="n">
        <x:f>V53*$B$3</x:f>
        <x:v>55.49999999999999</x:v>
      </x:c>
      <x:c r="X53" s="25" t="n">
        <x:f>W53-U53</x:f>
        <x:v>49.41459999999999</x:v>
      </x:c>
    </x:row>
    <x:row r="54" ht="23" customHeight="1">
      <x:c r="A54" s="21" t="str">
        <x:v>W0048</x:v>
      </x:c>
      <x:c r="B54" s="22" t="n">
        <x:v>46282</x:v>
      </x:c>
      <x:c r="C54" s="21" t="str">
        <x:v>Campaign 1</x:v>
      </x:c>
      <x:c r="D54" s="21" t="str">
        <x:v>Analytics</x:v>
      </x:c>
      <x:c r="E54" s="21" t="str">
        <x:v>Jamie Patel</x:v>
      </x:c>
      <x:c r="F54" s="21" t="str">
        <x:v>InsightDesk</x:v>
      </x:c>
      <x:c r="G54" s="21" t="str">
        <x:v>Lite</x:v>
      </x:c>
      <x:c r="H54" s="21" t="str">
        <x:v>Check measurement plan</x:v>
      </x:c>
      <x:c r="I54" s="23" t="n">
        <x:v>9</x:v>
      </x:c>
      <x:c r="J54" s="23" t="n">
        <x:v>449397</x:v>
      </x:c>
      <x:c r="K54" s="23" t="n">
        <x:v>69916</x:v>
      </x:c>
      <x:c r="L54" s="23" t="n">
        <x:v>10</x:v>
      </x:c>
      <x:c r="M54" s="23" t="n">
        <x:v>30</x:v>
      </x:c>
      <x:c r="N54" s="24" t="n">
        <x:v>2.71</x:v>
      </x:c>
      <x:c r="O54" s="24" t="n">
        <x:v>1.12</x:v>
      </x:c>
      <x:c r="P54" s="24" t="n">
        <x:v>0.1</x:v>
      </x:c>
      <x:c r="Q54" s="21" t="str">
        <x:v>Brief changed</x:v>
      </x:c>
      <x:c r="R54" s="14" t="n">
        <x:f>J54+K54</x:f>
        <x:v>519313</x:v>
      </x:c>
      <x:c r="S54" s="25" t="n">
        <x:f>J54*L54/1000000</x:f>
        <x:v>4.49397</x:v>
      </x:c>
      <x:c r="T54" s="25" t="n">
        <x:f>K54*M54/1000000</x:f>
        <x:v>2.09748</x:v>
      </x:c>
      <x:c r="U54" s="25" t="n">
        <x:f>SUM(S54:T54)</x:f>
        <x:v>6.59145</x:v>
      </x:c>
      <x:c r="V54" s="15" t="n">
        <x:f>N54-O54</x:f>
        <x:v>1.5899999999999999</x:v>
      </x:c>
      <x:c r="W54" s="25" t="n">
        <x:f>V54*$B$3</x:f>
        <x:v>79.5</x:v>
      </x:c>
      <x:c r="X54" s="25" t="n">
        <x:f>W54-U54</x:f>
        <x:v>72.90855</x:v>
      </x:c>
    </x:row>
    <x:row r="55" ht="23" customHeight="1">
      <x:c r="A55" s="21" t="str">
        <x:v>W0049</x:v>
      </x:c>
      <x:c r="B55" s="22" t="n">
        <x:v>46293</x:v>
      </x:c>
      <x:c r="C55" s="21" t="str">
        <x:v>Campaign 1</x:v>
      </x:c>
      <x:c r="D55" s="21" t="str">
        <x:v>Content</x:v>
      </x:c>
      <x:c r="E55" s="21" t="str">
        <x:v>Avery Morgan</x:v>
      </x:c>
      <x:c r="F55" s="21" t="str">
        <x:v>CopyStudio</x:v>
      </x:c>
      <x:c r="G55" s="21" t="str">
        <x:v>Lite</x:v>
      </x:c>
      <x:c r="H55" s="21" t="str">
        <x:v>Write ad copy</x:v>
      </x:c>
      <x:c r="I55" s="23" t="n">
        <x:v>11</x:v>
      </x:c>
      <x:c r="J55" s="23" t="n">
        <x:v>398534</x:v>
      </x:c>
      <x:c r="K55" s="23" t="n">
        <x:v>49911</x:v>
      </x:c>
      <x:c r="L55" s="23" t="n">
        <x:v>10</x:v>
      </x:c>
      <x:c r="M55" s="23" t="n">
        <x:v>30</x:v>
      </x:c>
      <x:c r="N55" s="24" t="n">
        <x:v>5.06</x:v>
      </x:c>
      <x:c r="O55" s="24" t="n">
        <x:v>2.59</x:v>
      </x:c>
      <x:c r="P55" s="24" t="n">
        <x:v>0.08</x:v>
      </x:c>
      <x:c r="Q55" s="21" t="str">
        <x:v>None</x:v>
      </x:c>
      <x:c r="R55" s="14" t="n">
        <x:f>J55+K55</x:f>
        <x:v>448445</x:v>
      </x:c>
      <x:c r="S55" s="25" t="n">
        <x:f>J55*L55/1000000</x:f>
        <x:v>3.98534</x:v>
      </x:c>
      <x:c r="T55" s="25" t="n">
        <x:f>K55*M55/1000000</x:f>
        <x:v>1.49733</x:v>
      </x:c>
      <x:c r="U55" s="25" t="n">
        <x:f>SUM(S55:T55)</x:f>
        <x:v>5.48267</x:v>
      </x:c>
      <x:c r="V55" s="15" t="n">
        <x:f>N55-O55</x:f>
        <x:v>2.4699999999999998</x:v>
      </x:c>
      <x:c r="W55" s="25" t="n">
        <x:f>V55*$B$3</x:f>
        <x:v>123.49999999999999</x:v>
      </x:c>
      <x:c r="X55" s="25" t="n">
        <x:f>W55-U55</x:f>
        <x:v>118.01732999999999</x:v>
      </x:c>
    </x:row>
    <x:row r="56" ht="23" customHeight="1">
      <x:c r="A56" s="21" t="str">
        <x:v>W0050</x:v>
      </x:c>
      <x:c r="B56" s="22" t="n">
        <x:v>46276</x:v>
      </x:c>
      <x:c r="C56" s="21" t="str">
        <x:v>Campaign 1</x:v>
      </x:c>
      <x:c r="D56" s="21" t="str">
        <x:v>Content</x:v>
      </x:c>
      <x:c r="E56" s="21" t="str">
        <x:v>Jordan Ellis</x:v>
      </x:c>
      <x:c r="F56" s="21" t="str">
        <x:v>CopyStudio</x:v>
      </x:c>
      <x:c r="G56" s="21" t="str">
        <x:v>Lite</x:v>
      </x:c>
      <x:c r="H56" s="21" t="str">
        <x:v>Draft email sequence</x:v>
      </x:c>
      <x:c r="I56" s="23" t="n">
        <x:v>10</x:v>
      </x:c>
      <x:c r="J56" s="23" t="n">
        <x:v>529934</x:v>
      </x:c>
      <x:c r="K56" s="23" t="n">
        <x:v>83164</x:v>
      </x:c>
      <x:c r="L56" s="23" t="n">
        <x:v>10</x:v>
      </x:c>
      <x:c r="M56" s="23" t="n">
        <x:v>30</x:v>
      </x:c>
      <x:c r="N56" s="24" t="n">
        <x:v>5.22</x:v>
      </x:c>
      <x:c r="O56" s="24" t="n">
        <x:v>2.8</x:v>
      </x:c>
      <x:c r="P56" s="24" t="n">
        <x:v>0.05</x:v>
      </x:c>
      <x:c r="Q56" s="21" t="str">
        <x:v>None</x:v>
      </x:c>
      <x:c r="R56" s="14" t="n">
        <x:f>J56+K56</x:f>
        <x:v>613098</x:v>
      </x:c>
      <x:c r="S56" s="25" t="n">
        <x:f>J56*L56/1000000</x:f>
        <x:v>5.29934</x:v>
      </x:c>
      <x:c r="T56" s="25" t="n">
        <x:f>K56*M56/1000000</x:f>
        <x:v>2.49492</x:v>
      </x:c>
      <x:c r="U56" s="25" t="n">
        <x:f>SUM(S56:T56)</x:f>
        <x:v>7.7942599999999995</x:v>
      </x:c>
      <x:c r="V56" s="15" t="n">
        <x:f>N56-O56</x:f>
        <x:v>2.42</x:v>
      </x:c>
      <x:c r="W56" s="25" t="n">
        <x:f>V56*$B$3</x:f>
        <x:v>121</x:v>
      </x:c>
      <x:c r="X56" s="25" t="n">
        <x:f>W56-U56</x:f>
        <x:v>113.20574</x:v>
      </x:c>
    </x:row>
    <x:row r="57" ht="23" customHeight="1">
      <x:c r="A57" s="21" t="str">
        <x:v>W0051</x:v>
      </x:c>
      <x:c r="B57" s="22" t="n">
        <x:v>46287</x:v>
      </x:c>
      <x:c r="C57" s="21" t="str">
        <x:v>Campaign 1</x:v>
      </x:c>
      <x:c r="D57" s="21" t="str">
        <x:v>Creative</x:v>
      </x:c>
      <x:c r="E57" s="21" t="str">
        <x:v>Riley Chen</x:v>
      </x:c>
      <x:c r="F57" s="21" t="str">
        <x:v>CampaignChat</x:v>
      </x:c>
      <x:c r="G57" s="21" t="str">
        <x:v>Lite</x:v>
      </x:c>
      <x:c r="H57" s="21" t="str">
        <x:v>Plan visual narrative</x:v>
      </x:c>
      <x:c r="I57" s="23" t="n">
        <x:v>8</x:v>
      </x:c>
      <x:c r="J57" s="23" t="n">
        <x:v>241384</x:v>
      </x:c>
      <x:c r="K57" s="23" t="n">
        <x:v>77739</x:v>
      </x:c>
      <x:c r="L57" s="23" t="n">
        <x:v>10</x:v>
      </x:c>
      <x:c r="M57" s="23" t="n">
        <x:v>30</x:v>
      </x:c>
      <x:c r="N57" s="24" t="n">
        <x:v>3.64</x:v>
      </x:c>
      <x:c r="O57" s="24" t="n">
        <x:v>2.09</x:v>
      </x:c>
      <x:c r="P57" s="24" t="n">
        <x:v>0.17</x:v>
      </x:c>
      <x:c r="Q57" s="21" t="str">
        <x:v>None</x:v>
      </x:c>
      <x:c r="R57" s="14" t="n">
        <x:f>J57+K57</x:f>
        <x:v>319123</x:v>
      </x:c>
      <x:c r="S57" s="25" t="n">
        <x:f>J57*L57/1000000</x:f>
        <x:v>2.41384</x:v>
      </x:c>
      <x:c r="T57" s="25" t="n">
        <x:f>K57*M57/1000000</x:f>
        <x:v>2.33217</x:v>
      </x:c>
      <x:c r="U57" s="25" t="n">
        <x:f>SUM(S57:T57)</x:f>
        <x:v>4.74601</x:v>
      </x:c>
      <x:c r="V57" s="15" t="n">
        <x:f>N57-O57</x:f>
        <x:v>1.5500000000000003</x:v>
      </x:c>
      <x:c r="W57" s="25" t="n">
        <x:f>V57*$B$3</x:f>
        <x:v>77.50000000000001</x:v>
      </x:c>
      <x:c r="X57" s="25" t="n">
        <x:f>W57-U57</x:f>
        <x:v>72.75399000000002</x:v>
      </x:c>
    </x:row>
    <x:row r="58" ht="23" customHeight="1">
      <x:c r="A58" s="21" t="str">
        <x:v>W0052</x:v>
      </x:c>
      <x:c r="B58" s="22" t="n">
        <x:v>46269</x:v>
      </x:c>
      <x:c r="C58" s="21" t="str">
        <x:v>Campaign 1</x:v>
      </x:c>
      <x:c r="D58" s="21" t="str">
        <x:v>Creative</x:v>
      </x:c>
      <x:c r="E58" s="21" t="str">
        <x:v>Taylor Brooks</x:v>
      </x:c>
      <x:c r="F58" s="21" t="str">
        <x:v>CampaignChat</x:v>
      </x:c>
      <x:c r="G58" s="21" t="str">
        <x:v>Pro</x:v>
      </x:c>
      <x:c r="H58" s="21" t="str">
        <x:v>Develop concept brief</x:v>
      </x:c>
      <x:c r="I58" s="23" t="n">
        <x:v>8</x:v>
      </x:c>
      <x:c r="J58" s="23" t="n">
        <x:v>87719</x:v>
      </x:c>
      <x:c r="K58" s="23" t="n">
        <x:v>62305</x:v>
      </x:c>
      <x:c r="L58" s="23" t="n">
        <x:v>40</x:v>
      </x:c>
      <x:c r="M58" s="23" t="n">
        <x:v>100</x:v>
      </x:c>
      <x:c r="N58" s="24" t="n">
        <x:v>4.61</x:v>
      </x:c>
      <x:c r="O58" s="24" t="n">
        <x:v>2.09</x:v>
      </x:c>
      <x:c r="P58" s="24" t="n">
        <x:v>0.12</x:v>
      </x:c>
      <x:c r="Q58" s="21" t="str">
        <x:v>None</x:v>
      </x:c>
      <x:c r="R58" s="14" t="n">
        <x:f>J58+K58</x:f>
        <x:v>150024</x:v>
      </x:c>
      <x:c r="S58" s="25" t="n">
        <x:f>J58*L58/1000000</x:f>
        <x:v>3.50876</x:v>
      </x:c>
      <x:c r="T58" s="25" t="n">
        <x:f>K58*M58/1000000</x:f>
        <x:v>6.2305</x:v>
      </x:c>
      <x:c r="U58" s="25" t="n">
        <x:f>SUM(S58:T58)</x:f>
        <x:v>9.73926</x:v>
      </x:c>
      <x:c r="V58" s="15" t="n">
        <x:f>N58-O58</x:f>
        <x:v>2.5200000000000005</x:v>
      </x:c>
      <x:c r="W58" s="25" t="n">
        <x:f>V58*$B$3</x:f>
        <x:v>126.00000000000003</x:v>
      </x:c>
      <x:c r="X58" s="25" t="n">
        <x:f>W58-U58</x:f>
        <x:v>116.26074000000003</x:v>
      </x:c>
    </x:row>
    <x:row r="59" ht="23" customHeight="1">
      <x:c r="A59" s="21" t="str">
        <x:v>W0053</x:v>
      </x:c>
      <x:c r="B59" s="22" t="n">
        <x:v>46281</x:v>
      </x:c>
      <x:c r="C59" s="21" t="str">
        <x:v>Campaign 1</x:v>
      </x:c>
      <x:c r="D59" s="21" t="str">
        <x:v>Marketing Operations</x:v>
      </x:c>
      <x:c r="E59" s="21" t="str">
        <x:v>Casey Rivera</x:v>
      </x:c>
      <x:c r="F59" s="21" t="str">
        <x:v>DataFlow</x:v>
      </x:c>
      <x:c r="G59" s="21" t="str">
        <x:v>Pro</x:v>
      </x:c>
      <x:c r="H59" s="21" t="str">
        <x:v>Clean audience data</x:v>
      </x:c>
      <x:c r="I59" s="23" t="n">
        <x:v>8</x:v>
      </x:c>
      <x:c r="J59" s="23" t="n">
        <x:v>179488</x:v>
      </x:c>
      <x:c r="K59" s="23" t="n">
        <x:v>93599</x:v>
      </x:c>
      <x:c r="L59" s="23" t="n">
        <x:v>40</x:v>
      </x:c>
      <x:c r="M59" s="23" t="n">
        <x:v>100</x:v>
      </x:c>
      <x:c r="N59" s="24" t="n">
        <x:v>2.7</x:v>
      </x:c>
      <x:c r="O59" s="24" t="n">
        <x:v>1.48</x:v>
      </x:c>
      <x:c r="P59" s="24" t="n">
        <x:v>0.09</x:v>
      </x:c>
      <x:c r="Q59" s="21" t="str">
        <x:v>None</x:v>
      </x:c>
      <x:c r="R59" s="14" t="n">
        <x:f>J59+K59</x:f>
        <x:v>273087</x:v>
      </x:c>
      <x:c r="S59" s="25" t="n">
        <x:f>J59*L59/1000000</x:f>
        <x:v>7.17952</x:v>
      </x:c>
      <x:c r="T59" s="25" t="n">
        <x:f>K59*M59/1000000</x:f>
        <x:v>9.3599</x:v>
      </x:c>
      <x:c r="U59" s="25" t="n">
        <x:f>SUM(S59:T59)</x:f>
        <x:v>16.53942</x:v>
      </x:c>
      <x:c r="V59" s="15" t="n">
        <x:f>N59-O59</x:f>
        <x:v>1.2200000000000002</x:v>
      </x:c>
      <x:c r="W59" s="25" t="n">
        <x:f>V59*$B$3</x:f>
        <x:v>61.00000000000001</x:v>
      </x:c>
      <x:c r="X59" s="25" t="n">
        <x:f>W59-U59</x:f>
        <x:v>44.46058000000001</x:v>
      </x:c>
    </x:row>
    <x:row r="60" ht="23" customHeight="1">
      <x:c r="A60" s="21" t="str">
        <x:v>W0054</x:v>
      </x:c>
      <x:c r="B60" s="22" t="n">
        <x:v>46290</x:v>
      </x:c>
      <x:c r="C60" s="21" t="str">
        <x:v>Campaign 1</x:v>
      </x:c>
      <x:c r="D60" s="21" t="str">
        <x:v>Marketing Operations</x:v>
      </x:c>
      <x:c r="E60" s="21" t="str">
        <x:v>Morgan Reed</x:v>
      </x:c>
      <x:c r="F60" s="21" t="str">
        <x:v>DataFlow</x:v>
      </x:c>
      <x:c r="G60" s="21" t="str">
        <x:v>Lite</x:v>
      </x:c>
      <x:c r="H60" s="21" t="str">
        <x:v>Prepare launch checklist</x:v>
      </x:c>
      <x:c r="I60" s="23" t="n">
        <x:v>12</x:v>
      </x:c>
      <x:c r="J60" s="23" t="n">
        <x:v>641992</x:v>
      </x:c>
      <x:c r="K60" s="23" t="n">
        <x:v>56373</x:v>
      </x:c>
      <x:c r="L60" s="23" t="n">
        <x:v>10</x:v>
      </x:c>
      <x:c r="M60" s="23" t="n">
        <x:v>30</x:v>
      </x:c>
      <x:c r="N60" s="24" t="n">
        <x:v>5.04</x:v>
      </x:c>
      <x:c r="O60" s="24" t="n">
        <x:v>2.81</x:v>
      </x:c>
      <x:c r="P60" s="24" t="n">
        <x:v>0.26</x:v>
      </x:c>
      <x:c r="Q60" s="21" t="str">
        <x:v>Unclear prompt</x:v>
      </x:c>
      <x:c r="R60" s="14" t="n">
        <x:f>J60+K60</x:f>
        <x:v>698365</x:v>
      </x:c>
      <x:c r="S60" s="25" t="n">
        <x:f>J60*L60/1000000</x:f>
        <x:v>6.41992</x:v>
      </x:c>
      <x:c r="T60" s="25" t="n">
        <x:f>K60*M60/1000000</x:f>
        <x:v>1.69119</x:v>
      </x:c>
      <x:c r="U60" s="25" t="n">
        <x:f>SUM(S60:T60)</x:f>
        <x:v>8.11111</x:v>
      </x:c>
      <x:c r="V60" s="15" t="n">
        <x:f>N60-O60</x:f>
        <x:v>2.23</x:v>
      </x:c>
      <x:c r="W60" s="25" t="n">
        <x:f>V60*$B$3</x:f>
        <x:v>111.5</x:v>
      </x:c>
      <x:c r="X60" s="25" t="n">
        <x:f>W60-U60</x:f>
        <x:v>103.38889</x:v>
      </x:c>
    </x:row>
    <x:row r="61" ht="23" customHeight="1">
      <x:c r="A61" s="21" t="str">
        <x:v>W0055</x:v>
      </x:c>
      <x:c r="B61" s="22" t="n">
        <x:v>46275</x:v>
      </x:c>
      <x:c r="C61" s="21" t="str">
        <x:v>Campaign 1</x:v>
      </x:c>
      <x:c r="D61" s="21" t="str">
        <x:v>Analytics</x:v>
      </x:c>
      <x:c r="E61" s="21" t="str">
        <x:v>Quinn Parker</x:v>
      </x:c>
      <x:c r="F61" s="21" t="str">
        <x:v>InsightDesk</x:v>
      </x:c>
      <x:c r="G61" s="21" t="str">
        <x:v>Pro</x:v>
      </x:c>
      <x:c r="H61" s="21" t="str">
        <x:v>Analyze campaign results</x:v>
      </x:c>
      <x:c r="I61" s="23" t="n">
        <x:v>10</x:v>
      </x:c>
      <x:c r="J61" s="23" t="n">
        <x:v>115681</x:v>
      </x:c>
      <x:c r="K61" s="23" t="n">
        <x:v>97308</x:v>
      </x:c>
      <x:c r="L61" s="23" t="n">
        <x:v>40</x:v>
      </x:c>
      <x:c r="M61" s="23" t="n">
        <x:v>100</x:v>
      </x:c>
      <x:c r="N61" s="24" t="n">
        <x:v>4.68</x:v>
      </x:c>
      <x:c r="O61" s="24" t="n">
        <x:v>1.64</x:v>
      </x:c>
      <x:c r="P61" s="24" t="n">
        <x:v>0.11</x:v>
      </x:c>
      <x:c r="Q61" s="21" t="str">
        <x:v>None</x:v>
      </x:c>
      <x:c r="R61" s="14" t="n">
        <x:f>J61+K61</x:f>
        <x:v>212989</x:v>
      </x:c>
      <x:c r="S61" s="25" t="n">
        <x:f>J61*L61/1000000</x:f>
        <x:v>4.62724</x:v>
      </x:c>
      <x:c r="T61" s="25" t="n">
        <x:f>K61*M61/1000000</x:f>
        <x:v>9.7308</x:v>
      </x:c>
      <x:c r="U61" s="25" t="n">
        <x:f>SUM(S61:T61)</x:f>
        <x:v>14.358039999999999</x:v>
      </x:c>
      <x:c r="V61" s="15" t="n">
        <x:f>N61-O61</x:f>
        <x:v>3.04</x:v>
      </x:c>
      <x:c r="W61" s="25" t="n">
        <x:f>V61*$B$3</x:f>
        <x:v>152</x:v>
      </x:c>
      <x:c r="X61" s="25" t="n">
        <x:f>W61-U61</x:f>
        <x:v>137.64196</x:v>
      </x:c>
    </x:row>
    <x:row r="62" ht="23" customHeight="1">
      <x:c r="A62" s="21" t="str">
        <x:v>W0056</x:v>
      </x:c>
      <x:c r="B62" s="22" t="n">
        <x:v>46286</x:v>
      </x:c>
      <x:c r="C62" s="21" t="str">
        <x:v>Campaign 1</x:v>
      </x:c>
      <x:c r="D62" s="21" t="str">
        <x:v>Analytics</x:v>
      </x:c>
      <x:c r="E62" s="21" t="str">
        <x:v>Jamie Patel</x:v>
      </x:c>
      <x:c r="F62" s="21" t="str">
        <x:v>InsightDesk</x:v>
      </x:c>
      <x:c r="G62" s="21" t="str">
        <x:v>Lite</x:v>
      </x:c>
      <x:c r="H62" s="21" t="str">
        <x:v>Summarize audience insights</x:v>
      </x:c>
      <x:c r="I62" s="23" t="n">
        <x:v>10</x:v>
      </x:c>
      <x:c r="J62" s="23" t="n">
        <x:v>380867</x:v>
      </x:c>
      <x:c r="K62" s="23" t="n">
        <x:v>90740</x:v>
      </x:c>
      <x:c r="L62" s="23" t="n">
        <x:v>10</x:v>
      </x:c>
      <x:c r="M62" s="23" t="n">
        <x:v>30</x:v>
      </x:c>
      <x:c r="N62" s="24" t="n">
        <x:v>3.05</x:v>
      </x:c>
      <x:c r="O62" s="24" t="n">
        <x:v>1.46</x:v>
      </x:c>
      <x:c r="P62" s="24" t="n">
        <x:v>0.18</x:v>
      </x:c>
      <x:c r="Q62" s="21" t="str">
        <x:v>Data problem</x:v>
      </x:c>
      <x:c r="R62" s="14" t="n">
        <x:f>J62+K62</x:f>
        <x:v>471607</x:v>
      </x:c>
      <x:c r="S62" s="25" t="n">
        <x:f>J62*L62/1000000</x:f>
        <x:v>3.80867</x:v>
      </x:c>
      <x:c r="T62" s="25" t="n">
        <x:f>K62*M62/1000000</x:f>
        <x:v>2.7222</x:v>
      </x:c>
      <x:c r="U62" s="25" t="n">
        <x:f>SUM(S62:T62)</x:f>
        <x:v>6.53087</x:v>
      </x:c>
      <x:c r="V62" s="15" t="n">
        <x:f>N62-O62</x:f>
        <x:v>1.5899999999999999</x:v>
      </x:c>
      <x:c r="W62" s="25" t="n">
        <x:f>V62*$B$3</x:f>
        <x:v>79.5</x:v>
      </x:c>
      <x:c r="X62" s="25" t="n">
        <x:f>W62-U62</x:f>
        <x:v>72.96913</x:v>
      </x:c>
    </x:row>
    <x:row r="63" ht="23" customHeight="1">
      <x:c r="A63" s="21" t="str">
        <x:v>W0057</x:v>
      </x:c>
      <x:c r="B63" s="22" t="n">
        <x:v>46295</x:v>
      </x:c>
      <x:c r="C63" s="21" t="str">
        <x:v>Campaign 1</x:v>
      </x:c>
      <x:c r="D63" s="21" t="str">
        <x:v>Content</x:v>
      </x:c>
      <x:c r="E63" s="21" t="str">
        <x:v>Avery Morgan</x:v>
      </x:c>
      <x:c r="F63" s="21" t="str">
        <x:v>DataFlow</x:v>
      </x:c>
      <x:c r="G63" s="21" t="str">
        <x:v>Lite</x:v>
      </x:c>
      <x:c r="H63" s="21" t="str">
        <x:v>Edit landing page</x:v>
      </x:c>
      <x:c r="I63" s="23" t="n">
        <x:v>11</x:v>
      </x:c>
      <x:c r="J63" s="23" t="n">
        <x:v>271142</x:v>
      </x:c>
      <x:c r="K63" s="23" t="n">
        <x:v>51315</x:v>
      </x:c>
      <x:c r="L63" s="23" t="n">
        <x:v>10</x:v>
      </x:c>
      <x:c r="M63" s="23" t="n">
        <x:v>30</x:v>
      </x:c>
      <x:c r="N63" s="24" t="n">
        <x:v>4.97</x:v>
      </x:c>
      <x:c r="O63" s="24" t="n">
        <x:v>2.97</x:v>
      </x:c>
      <x:c r="P63" s="24" t="n">
        <x:v>0.09</x:v>
      </x:c>
      <x:c r="Q63" s="21" t="str">
        <x:v>None</x:v>
      </x:c>
      <x:c r="R63" s="14" t="n">
        <x:f>J63+K63</x:f>
        <x:v>322457</x:v>
      </x:c>
      <x:c r="S63" s="25" t="n">
        <x:f>J63*L63/1000000</x:f>
        <x:v>2.71142</x:v>
      </x:c>
      <x:c r="T63" s="25" t="n">
        <x:f>K63*M63/1000000</x:f>
        <x:v>1.53945</x:v>
      </x:c>
      <x:c r="U63" s="25" t="n">
        <x:f>SUM(S63:T63)</x:f>
        <x:v>4.25087</x:v>
      </x:c>
      <x:c r="V63" s="15" t="n">
        <x:f>N63-O63</x:f>
        <x:v>1.9999999999999996</x:v>
      </x:c>
      <x:c r="W63" s="25" t="n">
        <x:f>V63*$B$3</x:f>
        <x:v>99.99999999999997</x:v>
      </x:c>
      <x:c r="X63" s="25" t="n">
        <x:f>W63-U63</x:f>
        <x:v>95.74912999999997</x:v>
      </x:c>
    </x:row>
    <x:row r="64" ht="23" customHeight="1">
      <x:c r="A64" s="21" t="str">
        <x:v>W0058</x:v>
      </x:c>
      <x:c r="B64" s="22" t="n">
        <x:v>46280</x:v>
      </x:c>
      <x:c r="C64" s="21" t="str">
        <x:v>Campaign 1</x:v>
      </x:c>
      <x:c r="D64" s="21" t="str">
        <x:v>Content</x:v>
      </x:c>
      <x:c r="E64" s="21" t="str">
        <x:v>Jordan Ellis</x:v>
      </x:c>
      <x:c r="F64" s="21" t="str">
        <x:v>CopyStudio</x:v>
      </x:c>
      <x:c r="G64" s="21" t="str">
        <x:v>Lite</x:v>
      </x:c>
      <x:c r="H64" s="21" t="str">
        <x:v>Write ad copy</x:v>
      </x:c>
      <x:c r="I64" s="23" t="n">
        <x:v>8</x:v>
      </x:c>
      <x:c r="J64" s="23" t="n">
        <x:v>229722</x:v>
      </x:c>
      <x:c r="K64" s="23" t="n">
        <x:v>46429</x:v>
      </x:c>
      <x:c r="L64" s="23" t="n">
        <x:v>10</x:v>
      </x:c>
      <x:c r="M64" s="23" t="n">
        <x:v>30</x:v>
      </x:c>
      <x:c r="N64" s="24" t="n">
        <x:v>3.99</x:v>
      </x:c>
      <x:c r="O64" s="24" t="n">
        <x:v>2.13</x:v>
      </x:c>
      <x:c r="P64" s="24" t="n">
        <x:v>0.42</x:v>
      </x:c>
      <x:c r="Q64" s="21" t="str">
        <x:v>Data problem</x:v>
      </x:c>
      <x:c r="R64" s="14" t="n">
        <x:f>J64+K64</x:f>
        <x:v>276151</x:v>
      </x:c>
      <x:c r="S64" s="25" t="n">
        <x:f>J64*L64/1000000</x:f>
        <x:v>2.29722</x:v>
      </x:c>
      <x:c r="T64" s="25" t="n">
        <x:f>K64*M64/1000000</x:f>
        <x:v>1.39287</x:v>
      </x:c>
      <x:c r="U64" s="25" t="n">
        <x:f>SUM(S64:T64)</x:f>
        <x:v>3.6900899999999996</x:v>
      </x:c>
      <x:c r="V64" s="15" t="n">
        <x:f>N64-O64</x:f>
        <x:v>1.8600000000000003</x:v>
      </x:c>
      <x:c r="W64" s="25" t="n">
        <x:f>V64*$B$3</x:f>
        <x:v>93.00000000000001</x:v>
      </x:c>
      <x:c r="X64" s="25" t="n">
        <x:f>W64-U64</x:f>
        <x:v>89.30991000000002</x:v>
      </x:c>
    </x:row>
    <x:row r="65" ht="23" customHeight="1">
      <x:c r="A65" s="21" t="str">
        <x:v>W0059</x:v>
      </x:c>
      <x:c r="B65" s="22" t="n">
        <x:v>46289</x:v>
      </x:c>
      <x:c r="C65" s="21" t="str">
        <x:v>Campaign 1</x:v>
      </x:c>
      <x:c r="D65" s="21" t="str">
        <x:v>Creative</x:v>
      </x:c>
      <x:c r="E65" s="21" t="str">
        <x:v>Riley Chen</x:v>
      </x:c>
      <x:c r="F65" s="21" t="str">
        <x:v>CampaignChat</x:v>
      </x:c>
      <x:c r="G65" s="21" t="str">
        <x:v>Lite</x:v>
      </x:c>
      <x:c r="H65" s="21" t="str">
        <x:v>Review creative variants</x:v>
      </x:c>
      <x:c r="I65" s="23" t="n">
        <x:v>12</x:v>
      </x:c>
      <x:c r="J65" s="23" t="n">
        <x:v>368076</x:v>
      </x:c>
      <x:c r="K65" s="23" t="n">
        <x:v>60369</x:v>
      </x:c>
      <x:c r="L65" s="23" t="n">
        <x:v>10</x:v>
      </x:c>
      <x:c r="M65" s="23" t="n">
        <x:v>30</x:v>
      </x:c>
      <x:c r="N65" s="24" t="n">
        <x:v>4.03</x:v>
      </x:c>
      <x:c r="O65" s="24" t="n">
        <x:v>2</x:v>
      </x:c>
      <x:c r="P65" s="24" t="n">
        <x:v>0.25</x:v>
      </x:c>
      <x:c r="Q65" s="21" t="str">
        <x:v>Unclear prompt</x:v>
      </x:c>
      <x:c r="R65" s="14" t="n">
        <x:f>J65+K65</x:f>
        <x:v>428445</x:v>
      </x:c>
      <x:c r="S65" s="25" t="n">
        <x:f>J65*L65/1000000</x:f>
        <x:v>3.68076</x:v>
      </x:c>
      <x:c r="T65" s="25" t="n">
        <x:f>K65*M65/1000000</x:f>
        <x:v>1.81107</x:v>
      </x:c>
      <x:c r="U65" s="25" t="n">
        <x:f>SUM(S65:T65)</x:f>
        <x:v>5.49183</x:v>
      </x:c>
      <x:c r="V65" s="15" t="n">
        <x:f>N65-O65</x:f>
        <x:v>2.0300000000000002</x:v>
      </x:c>
      <x:c r="W65" s="25" t="n">
        <x:f>V65*$B$3</x:f>
        <x:v>101.50000000000001</x:v>
      </x:c>
      <x:c r="X65" s="25" t="n">
        <x:f>W65-U65</x:f>
        <x:v>96.00817</x:v>
      </x:c>
    </x:row>
    <x:row r="66" ht="23" customHeight="1">
      <x:c r="A66" s="21" t="str">
        <x:v>W0060</x:v>
      </x:c>
      <x:c r="B66" s="22" t="n">
        <x:v>46274</x:v>
      </x:c>
      <x:c r="C66" s="21" t="str">
        <x:v>Campaign 1</x:v>
      </x:c>
      <x:c r="D66" s="21" t="str">
        <x:v>Creative</x:v>
      </x:c>
      <x:c r="E66" s="21" t="str">
        <x:v>Taylor Brooks</x:v>
      </x:c>
      <x:c r="F66" s="21" t="str">
        <x:v>CampaignChat</x:v>
      </x:c>
      <x:c r="G66" s="21" t="str">
        <x:v>Lite</x:v>
      </x:c>
      <x:c r="H66" s="21" t="str">
        <x:v>Plan visual narrative</x:v>
      </x:c>
      <x:c r="I66" s="23" t="n">
        <x:v>10</x:v>
      </x:c>
      <x:c r="J66" s="23" t="n">
        <x:v>246848</x:v>
      </x:c>
      <x:c r="K66" s="23" t="n">
        <x:v>109912</x:v>
      </x:c>
      <x:c r="L66" s="23" t="n">
        <x:v>10</x:v>
      </x:c>
      <x:c r="M66" s="23" t="n">
        <x:v>30</x:v>
      </x:c>
      <x:c r="N66" s="24" t="n">
        <x:v>3.62</x:v>
      </x:c>
      <x:c r="O66" s="24" t="n">
        <x:v>1.71</x:v>
      </x:c>
      <x:c r="P66" s="24" t="n">
        <x:v>0.09</x:v>
      </x:c>
      <x:c r="Q66" s="21" t="str">
        <x:v>Brief changed</x:v>
      </x:c>
      <x:c r="R66" s="14" t="n">
        <x:f>J66+K66</x:f>
        <x:v>356760</x:v>
      </x:c>
      <x:c r="S66" s="25" t="n">
        <x:f>J66*L66/1000000</x:f>
        <x:v>2.46848</x:v>
      </x:c>
      <x:c r="T66" s="25" t="n">
        <x:f>K66*M66/1000000</x:f>
        <x:v>3.29736</x:v>
      </x:c>
      <x:c r="U66" s="25" t="n">
        <x:f>SUM(S66:T66)</x:f>
        <x:v>5.76584</x:v>
      </x:c>
      <x:c r="V66" s="15" t="n">
        <x:f>N66-O66</x:f>
        <x:v>1.9100000000000001</x:v>
      </x:c>
      <x:c r="W66" s="25" t="n">
        <x:f>V66*$B$3</x:f>
        <x:v>95.5</x:v>
      </x:c>
      <x:c r="X66" s="25" t="n">
        <x:f>W66-U66</x:f>
        <x:v>89.73416</x:v>
      </x:c>
    </x:row>
    <x:row r="67" ht="23" customHeight="1">
      <x:c r="A67" s="21" t="str">
        <x:v>W0061</x:v>
      </x:c>
      <x:c r="B67" s="22" t="n">
        <x:v>46280</x:v>
      </x:c>
      <x:c r="C67" s="21" t="str">
        <x:v>Campaign 2</x:v>
      </x:c>
      <x:c r="D67" s="21" t="str">
        <x:v>Content</x:v>
      </x:c>
      <x:c r="E67" s="21" t="str">
        <x:v>Jordan Ellis</x:v>
      </x:c>
      <x:c r="F67" s="21" t="str">
        <x:v>CopyStudio</x:v>
      </x:c>
      <x:c r="G67" s="21" t="str">
        <x:v>Lite</x:v>
      </x:c>
      <x:c r="H67" s="21" t="str">
        <x:v>Write ad copy</x:v>
      </x:c>
      <x:c r="I67" s="23" t="n">
        <x:v>12</x:v>
      </x:c>
      <x:c r="J67" s="23" t="n">
        <x:v>506853</x:v>
      </x:c>
      <x:c r="K67" s="23" t="n">
        <x:v>82438</x:v>
      </x:c>
      <x:c r="L67" s="23" t="n">
        <x:v>10</x:v>
      </x:c>
      <x:c r="M67" s="23" t="n">
        <x:v>30</x:v>
      </x:c>
      <x:c r="N67" s="24" t="n">
        <x:v>4.09</x:v>
      </x:c>
      <x:c r="O67" s="24" t="n">
        <x:v>2.7</x:v>
      </x:c>
      <x:c r="P67" s="24" t="n">
        <x:v>0.46</x:v>
      </x:c>
      <x:c r="Q67" s="21" t="str">
        <x:v>None</x:v>
      </x:c>
      <x:c r="R67" s="14" t="n">
        <x:f>J67+K67</x:f>
        <x:v>589291</x:v>
      </x:c>
      <x:c r="S67" s="25" t="n">
        <x:f>J67*L67/1000000</x:f>
        <x:v>5.06853</x:v>
      </x:c>
      <x:c r="T67" s="25" t="n">
        <x:f>K67*M67/1000000</x:f>
        <x:v>2.47314</x:v>
      </x:c>
      <x:c r="U67" s="25" t="n">
        <x:f>SUM(S67:T67)</x:f>
        <x:v>7.54167</x:v>
      </x:c>
      <x:c r="V67" s="15" t="n">
        <x:f>N67-O67</x:f>
        <x:v>1.3899999999999997</x:v>
      </x:c>
      <x:c r="W67" s="25" t="n">
        <x:f>V67*$B$3</x:f>
        <x:v>69.49999999999999</x:v>
      </x:c>
      <x:c r="X67" s="25" t="n">
        <x:f>W67-U67</x:f>
        <x:v>61.95832999999999</x:v>
      </x:c>
    </x:row>
    <x:row r="68" ht="23" customHeight="1">
      <x:c r="A68" s="21" t="str">
        <x:v>W0062</x:v>
      </x:c>
      <x:c r="B68" s="22" t="n">
        <x:v>46289</x:v>
      </x:c>
      <x:c r="C68" s="21" t="str">
        <x:v>Campaign 2</x:v>
      </x:c>
      <x:c r="D68" s="21" t="str">
        <x:v>Creative</x:v>
      </x:c>
      <x:c r="E68" s="21" t="str">
        <x:v>Riley Chen</x:v>
      </x:c>
      <x:c r="F68" s="21" t="str">
        <x:v>CampaignChat</x:v>
      </x:c>
      <x:c r="G68" s="21" t="str">
        <x:v>Pro</x:v>
      </x:c>
      <x:c r="H68" s="21" t="str">
        <x:v>Review creative variants</x:v>
      </x:c>
      <x:c r="I68" s="23" t="n">
        <x:v>16</x:v>
      </x:c>
      <x:c r="J68" s="23" t="n">
        <x:v>216307</x:v>
      </x:c>
      <x:c r="K68" s="23" t="n">
        <x:v>112052</x:v>
      </x:c>
      <x:c r="L68" s="23" t="n">
        <x:v>40</x:v>
      </x:c>
      <x:c r="M68" s="23" t="n">
        <x:v>100</x:v>
      </x:c>
      <x:c r="N68" s="24" t="n">
        <x:v>2.82</x:v>
      </x:c>
      <x:c r="O68" s="24" t="n">
        <x:v>1.72</x:v>
      </x:c>
      <x:c r="P68" s="24" t="n">
        <x:v>0.69</x:v>
      </x:c>
      <x:c r="Q68" s="21" t="str">
        <x:v>Brief changed</x:v>
      </x:c>
      <x:c r="R68" s="14" t="n">
        <x:f>J68+K68</x:f>
        <x:v>328359</x:v>
      </x:c>
      <x:c r="S68" s="25" t="n">
        <x:f>J68*L68/1000000</x:f>
        <x:v>8.65228</x:v>
      </x:c>
      <x:c r="T68" s="25" t="n">
        <x:f>K68*M68/1000000</x:f>
        <x:v>11.2052</x:v>
      </x:c>
      <x:c r="U68" s="25" t="n">
        <x:f>SUM(S68:T68)</x:f>
        <x:v>19.85748</x:v>
      </x:c>
      <x:c r="V68" s="15" t="n">
        <x:f>N68-O68</x:f>
        <x:v>1.0999999999999999</x:v>
      </x:c>
      <x:c r="W68" s="25" t="n">
        <x:f>V68*$B$3</x:f>
        <x:v>54.99999999999999</x:v>
      </x:c>
      <x:c r="X68" s="25" t="n">
        <x:f>W68-U68</x:f>
        <x:v>35.14251999999999</x:v>
      </x:c>
    </x:row>
    <x:row r="69" ht="23" customHeight="1">
      <x:c r="A69" s="21" t="str">
        <x:v>W0063</x:v>
      </x:c>
      <x:c r="B69" s="22" t="n">
        <x:v>46274</x:v>
      </x:c>
      <x:c r="C69" s="21" t="str">
        <x:v>Campaign 2</x:v>
      </x:c>
      <x:c r="D69" s="21" t="str">
        <x:v>Creative</x:v>
      </x:c>
      <x:c r="E69" s="21" t="str">
        <x:v>Taylor Brooks</x:v>
      </x:c>
      <x:c r="F69" s="21" t="str">
        <x:v>CampaignChat</x:v>
      </x:c>
      <x:c r="G69" s="21" t="str">
        <x:v>Lite</x:v>
      </x:c>
      <x:c r="H69" s="21" t="str">
        <x:v>Plan visual narrative</x:v>
      </x:c>
      <x:c r="I69" s="23" t="n">
        <x:v>16</x:v>
      </x:c>
      <x:c r="J69" s="23" t="n">
        <x:v>681801</x:v>
      </x:c>
      <x:c r="K69" s="23" t="n">
        <x:v>121329</x:v>
      </x:c>
      <x:c r="L69" s="23" t="n">
        <x:v>10</x:v>
      </x:c>
      <x:c r="M69" s="23" t="n">
        <x:v>30</x:v>
      </x:c>
      <x:c r="N69" s="24" t="n">
        <x:v>2.43</x:v>
      </x:c>
      <x:c r="O69" s="24" t="n">
        <x:v>1.49</x:v>
      </x:c>
      <x:c r="P69" s="24" t="n">
        <x:v>0.2</x:v>
      </x:c>
      <x:c r="Q69" s="21" t="str">
        <x:v>None</x:v>
      </x:c>
      <x:c r="R69" s="14" t="n">
        <x:f>J69+K69</x:f>
        <x:v>803130</x:v>
      </x:c>
      <x:c r="S69" s="25" t="n">
        <x:f>J69*L69/1000000</x:f>
        <x:v>6.81801</x:v>
      </x:c>
      <x:c r="T69" s="25" t="n">
        <x:f>K69*M69/1000000</x:f>
        <x:v>3.63987</x:v>
      </x:c>
      <x:c r="U69" s="25" t="n">
        <x:f>SUM(S69:T69)</x:f>
        <x:v>10.45788</x:v>
      </x:c>
      <x:c r="V69" s="15" t="n">
        <x:f>N69-O69</x:f>
        <x:v>0.9400000000000002</x:v>
      </x:c>
      <x:c r="W69" s="25" t="n">
        <x:f>V69*$B$3</x:f>
        <x:v>47.00000000000001</x:v>
      </x:c>
      <x:c r="X69" s="25" t="n">
        <x:f>W69-U69</x:f>
        <x:v>36.54212000000001</x:v>
      </x:c>
    </x:row>
    <x:row r="70" ht="23" customHeight="1">
      <x:c r="A70" s="21" t="str">
        <x:v>W0064</x:v>
      </x:c>
      <x:c r="B70" s="22" t="n">
        <x:v>46283</x:v>
      </x:c>
      <x:c r="C70" s="21" t="str">
        <x:v>Campaign 2</x:v>
      </x:c>
      <x:c r="D70" s="21" t="str">
        <x:v>Marketing Operations</x:v>
      </x:c>
      <x:c r="E70" s="21" t="str">
        <x:v>Casey Rivera</x:v>
      </x:c>
      <x:c r="F70" s="21" t="str">
        <x:v>DataFlow</x:v>
      </x:c>
      <x:c r="G70" s="21" t="str">
        <x:v>Lite</x:v>
      </x:c>
      <x:c r="H70" s="21" t="str">
        <x:v>Build campaign plan</x:v>
      </x:c>
      <x:c r="I70" s="23" t="n">
        <x:v>16</x:v>
      </x:c>
      <x:c r="J70" s="23" t="n">
        <x:v>543371</x:v>
      </x:c>
      <x:c r="K70" s="23" t="n">
        <x:v>88841</x:v>
      </x:c>
      <x:c r="L70" s="23" t="n">
        <x:v>10</x:v>
      </x:c>
      <x:c r="M70" s="23" t="n">
        <x:v>30</x:v>
      </x:c>
      <x:c r="N70" s="24" t="n">
        <x:v>2.53</x:v>
      </x:c>
      <x:c r="O70" s="24" t="n">
        <x:v>1.18</x:v>
      </x:c>
      <x:c r="P70" s="24" t="n">
        <x:v>0.27</x:v>
      </x:c>
      <x:c r="Q70" s="21" t="str">
        <x:v>None</x:v>
      </x:c>
      <x:c r="R70" s="14" t="n">
        <x:f>J70+K70</x:f>
        <x:v>632212</x:v>
      </x:c>
      <x:c r="S70" s="25" t="n">
        <x:f>J70*L70/1000000</x:f>
        <x:v>5.43371</x:v>
      </x:c>
      <x:c r="T70" s="25" t="n">
        <x:f>K70*M70/1000000</x:f>
        <x:v>2.66523</x:v>
      </x:c>
      <x:c r="U70" s="25" t="n">
        <x:f>SUM(S70:T70)</x:f>
        <x:v>8.098939999999999</x:v>
      </x:c>
      <x:c r="V70" s="15" t="n">
        <x:f>N70-O70</x:f>
        <x:v>1.3499999999999999</x:v>
      </x:c>
      <x:c r="W70" s="25" t="n">
        <x:f>V70*$B$3</x:f>
        <x:v>67.5</x:v>
      </x:c>
      <x:c r="X70" s="25" t="n">
        <x:f>W70-U70</x:f>
        <x:v>59.40106</x:v>
      </x:c>
    </x:row>
    <x:row r="71" ht="23" customHeight="1">
      <x:c r="A71" s="21" t="str">
        <x:v>W0065</x:v>
      </x:c>
      <x:c r="B71" s="22" t="n">
        <x:v>46294</x:v>
      </x:c>
      <x:c r="C71" s="21" t="str">
        <x:v>Campaign 2</x:v>
      </x:c>
      <x:c r="D71" s="21" t="str">
        <x:v>Marketing Operations</x:v>
      </x:c>
      <x:c r="E71" s="21" t="str">
        <x:v>Morgan Reed</x:v>
      </x:c>
      <x:c r="F71" s="21" t="str">
        <x:v>DataFlow</x:v>
      </x:c>
      <x:c r="G71" s="21" t="str">
        <x:v>Pro</x:v>
      </x:c>
      <x:c r="H71" s="21" t="str">
        <x:v>Clean audience data</x:v>
      </x:c>
      <x:c r="I71" s="23" t="n">
        <x:v>14</x:v>
      </x:c>
      <x:c r="J71" s="23" t="n">
        <x:v>318993</x:v>
      </x:c>
      <x:c r="K71" s="23" t="n">
        <x:v>196673</x:v>
      </x:c>
      <x:c r="L71" s="23" t="n">
        <x:v>40</x:v>
      </x:c>
      <x:c r="M71" s="23" t="n">
        <x:v>100</x:v>
      </x:c>
      <x:c r="N71" s="24" t="n">
        <x:v>2.84</x:v>
      </x:c>
      <x:c r="O71" s="24" t="n">
        <x:v>1.47</x:v>
      </x:c>
      <x:c r="P71" s="24" t="n">
        <x:v>0.67</x:v>
      </x:c>
      <x:c r="Q71" s="21" t="str">
        <x:v>Brief changed</x:v>
      </x:c>
      <x:c r="R71" s="14" t="n">
        <x:f>J71+K71</x:f>
        <x:v>515666</x:v>
      </x:c>
      <x:c r="S71" s="25" t="n">
        <x:f>J71*L71/1000000</x:f>
        <x:v>12.75972</x:v>
      </x:c>
      <x:c r="T71" s="25" t="n">
        <x:f>K71*M71/1000000</x:f>
        <x:v>19.6673</x:v>
      </x:c>
      <x:c r="U71" s="25" t="n">
        <x:f>SUM(S71:T71)</x:f>
        <x:v>32.42702</x:v>
      </x:c>
      <x:c r="V71" s="15" t="n">
        <x:f>N71-O71</x:f>
        <x:v>1.3699999999999999</x:v>
      </x:c>
      <x:c r="W71" s="25" t="n">
        <x:f>V71*$B$3</x:f>
        <x:v>68.5</x:v>
      </x:c>
      <x:c r="X71" s="25" t="n">
        <x:f>W71-U71</x:f>
        <x:v>36.07298</x:v>
      </x:c>
    </x:row>
    <x:row r="72" ht="23" customHeight="1">
      <x:c r="A72" s="21" t="str">
        <x:v>W0066</x:v>
      </x:c>
      <x:c r="B72" s="22" t="n">
        <x:v>46279</x:v>
      </x:c>
      <x:c r="C72" s="21" t="str">
        <x:v>Campaign 2</x:v>
      </x:c>
      <x:c r="D72" s="21" t="str">
        <x:v>Analytics</x:v>
      </x:c>
      <x:c r="E72" s="21" t="str">
        <x:v>Quinn Parker</x:v>
      </x:c>
      <x:c r="F72" s="21" t="str">
        <x:v>DataFlow</x:v>
      </x:c>
      <x:c r="G72" s="21" t="str">
        <x:v>Pro</x:v>
      </x:c>
      <x:c r="H72" s="21" t="str">
        <x:v>Check measurement plan</x:v>
      </x:c>
      <x:c r="I72" s="23" t="n">
        <x:v>11</x:v>
      </x:c>
      <x:c r="J72" s="23" t="n">
        <x:v>294158</x:v>
      </x:c>
      <x:c r="K72" s="23" t="n">
        <x:v>115484</x:v>
      </x:c>
      <x:c r="L72" s="23" t="n">
        <x:v>40</x:v>
      </x:c>
      <x:c r="M72" s="23" t="n">
        <x:v>100</x:v>
      </x:c>
      <x:c r="N72" s="24" t="n">
        <x:v>2.83</x:v>
      </x:c>
      <x:c r="O72" s="24" t="n">
        <x:v>1.87</x:v>
      </x:c>
      <x:c r="P72" s="24" t="n">
        <x:v>0.42</x:v>
      </x:c>
      <x:c r="Q72" s="21" t="str">
        <x:v>Brief changed</x:v>
      </x:c>
      <x:c r="R72" s="14" t="n">
        <x:f>J72+K72</x:f>
        <x:v>409642</x:v>
      </x:c>
      <x:c r="S72" s="25" t="n">
        <x:f>J72*L72/1000000</x:f>
        <x:v>11.76632</x:v>
      </x:c>
      <x:c r="T72" s="25" t="n">
        <x:f>K72*M72/1000000</x:f>
        <x:v>11.5484</x:v>
      </x:c>
      <x:c r="U72" s="25" t="n">
        <x:f>SUM(S72:T72)</x:f>
        <x:v>23.31472</x:v>
      </x:c>
      <x:c r="V72" s="15" t="n">
        <x:f>N72-O72</x:f>
        <x:v>0.96</x:v>
      </x:c>
      <x:c r="W72" s="25" t="n">
        <x:f>V72*$B$3</x:f>
        <x:v>48</x:v>
      </x:c>
      <x:c r="X72" s="25" t="n">
        <x:f>W72-U72</x:f>
        <x:v>24.68528</x:v>
      </x:c>
    </x:row>
    <x:row r="73" ht="23" customHeight="1">
      <x:c r="A73" s="21" t="str">
        <x:v>W0067</x:v>
      </x:c>
      <x:c r="B73" s="22" t="n">
        <x:v>46288</x:v>
      </x:c>
      <x:c r="C73" s="21" t="str">
        <x:v>Campaign 2</x:v>
      </x:c>
      <x:c r="D73" s="21" t="str">
        <x:v>Analytics</x:v>
      </x:c>
      <x:c r="E73" s="21" t="str">
        <x:v>Jamie Patel</x:v>
      </x:c>
      <x:c r="F73" s="21" t="str">
        <x:v>InsightDesk</x:v>
      </x:c>
      <x:c r="G73" s="21" t="str">
        <x:v>Pro</x:v>
      </x:c>
      <x:c r="H73" s="21" t="str">
        <x:v>Analyze campaign results</x:v>
      </x:c>
      <x:c r="I73" s="23" t="n">
        <x:v>16</x:v>
      </x:c>
      <x:c r="J73" s="23" t="n">
        <x:v>448703</x:v>
      </x:c>
      <x:c r="K73" s="23" t="n">
        <x:v>217814</x:v>
      </x:c>
      <x:c r="L73" s="23" t="n">
        <x:v>40</x:v>
      </x:c>
      <x:c r="M73" s="23" t="n">
        <x:v>100</x:v>
      </x:c>
      <x:c r="N73" s="24" t="n">
        <x:v>4.38</x:v>
      </x:c>
      <x:c r="O73" s="24" t="n">
        <x:v>2.43</x:v>
      </x:c>
      <x:c r="P73" s="24" t="n">
        <x:v>0.78</x:v>
      </x:c>
      <x:c r="Q73" s="21" t="str">
        <x:v>Data problem</x:v>
      </x:c>
      <x:c r="R73" s="14" t="n">
        <x:f>J73+K73</x:f>
        <x:v>666517</x:v>
      </x:c>
      <x:c r="S73" s="25" t="n">
        <x:f>J73*L73/1000000</x:f>
        <x:v>17.94812</x:v>
      </x:c>
      <x:c r="T73" s="25" t="n">
        <x:f>K73*M73/1000000</x:f>
        <x:v>21.7814</x:v>
      </x:c>
      <x:c r="U73" s="25" t="n">
        <x:f>SUM(S73:T73)</x:f>
        <x:v>39.72952</x:v>
      </x:c>
      <x:c r="V73" s="15" t="n">
        <x:f>N73-O73</x:f>
        <x:v>1.9499999999999997</x:v>
      </x:c>
      <x:c r="W73" s="25" t="n">
        <x:f>V73*$B$3</x:f>
        <x:v>97.49999999999999</x:v>
      </x:c>
      <x:c r="X73" s="25" t="n">
        <x:f>W73-U73</x:f>
        <x:v>57.770479999999985</x:v>
      </x:c>
    </x:row>
    <x:row r="74" ht="23" customHeight="1">
      <x:c r="A74" s="21" t="str">
        <x:v>W0068</x:v>
      </x:c>
      <x:c r="B74" s="22" t="n">
        <x:v>46273</x:v>
      </x:c>
      <x:c r="C74" s="21" t="str">
        <x:v>Campaign 2</x:v>
      </x:c>
      <x:c r="D74" s="21" t="str">
        <x:v>Content</x:v>
      </x:c>
      <x:c r="E74" s="21" t="str">
        <x:v>Avery Morgan</x:v>
      </x:c>
      <x:c r="F74" s="21" t="str">
        <x:v>CopyStudio</x:v>
      </x:c>
      <x:c r="G74" s="21" t="str">
        <x:v>Pro</x:v>
      </x:c>
      <x:c r="H74" s="21" t="str">
        <x:v>Draft email sequence</x:v>
      </x:c>
      <x:c r="I74" s="23" t="n">
        <x:v>14</x:v>
      </x:c>
      <x:c r="J74" s="23" t="n">
        <x:v>168930</x:v>
      </x:c>
      <x:c r="K74" s="23" t="n">
        <x:v>115490</x:v>
      </x:c>
      <x:c r="L74" s="23" t="n">
        <x:v>40</x:v>
      </x:c>
      <x:c r="M74" s="23" t="n">
        <x:v>100</x:v>
      </x:c>
      <x:c r="N74" s="24" t="n">
        <x:v>3.08</x:v>
      </x:c>
      <x:c r="O74" s="24" t="n">
        <x:v>1.93</x:v>
      </x:c>
      <x:c r="P74" s="24" t="n">
        <x:v>0.43</x:v>
      </x:c>
      <x:c r="Q74" s="21" t="str">
        <x:v>None</x:v>
      </x:c>
      <x:c r="R74" s="14" t="n">
        <x:f>J74+K74</x:f>
        <x:v>284420</x:v>
      </x:c>
      <x:c r="S74" s="25" t="n">
        <x:f>J74*L74/1000000</x:f>
        <x:v>6.7572</x:v>
      </x:c>
      <x:c r="T74" s="25" t="n">
        <x:f>K74*M74/1000000</x:f>
        <x:v>11.549</x:v>
      </x:c>
      <x:c r="U74" s="25" t="n">
        <x:f>SUM(S74:T74)</x:f>
        <x:v>18.3062</x:v>
      </x:c>
      <x:c r="V74" s="15" t="n">
        <x:f>N74-O74</x:f>
        <x:v>1.1500000000000001</x:v>
      </x:c>
      <x:c r="W74" s="25" t="n">
        <x:f>V74*$B$3</x:f>
        <x:v>57.50000000000001</x:v>
      </x:c>
      <x:c r="X74" s="25" t="n">
        <x:f>W74-U74</x:f>
        <x:v>39.19380000000001</x:v>
      </x:c>
    </x:row>
    <x:row r="75" ht="23" customHeight="1">
      <x:c r="A75" s="21" t="str">
        <x:v>W0069</x:v>
      </x:c>
      <x:c r="B75" s="22" t="n">
        <x:v>46282</x:v>
      </x:c>
      <x:c r="C75" s="21" t="str">
        <x:v>Campaign 2</x:v>
      </x:c>
      <x:c r="D75" s="21" t="str">
        <x:v>Content</x:v>
      </x:c>
      <x:c r="E75" s="21" t="str">
        <x:v>Jordan Ellis</x:v>
      </x:c>
      <x:c r="F75" s="21" t="str">
        <x:v>CopyStudio</x:v>
      </x:c>
      <x:c r="G75" s="21" t="str">
        <x:v>Pro</x:v>
      </x:c>
      <x:c r="H75" s="21" t="str">
        <x:v>Edit landing page</x:v>
      </x:c>
      <x:c r="I75" s="23" t="n">
        <x:v>15</x:v>
      </x:c>
      <x:c r="J75" s="23" t="n">
        <x:v>197601</x:v>
      </x:c>
      <x:c r="K75" s="23" t="n">
        <x:v>118615</x:v>
      </x:c>
      <x:c r="L75" s="23" t="n">
        <x:v>40</x:v>
      </x:c>
      <x:c r="M75" s="23" t="n">
        <x:v>100</x:v>
      </x:c>
      <x:c r="N75" s="24" t="n">
        <x:v>3.45</x:v>
      </x:c>
      <x:c r="O75" s="24" t="n">
        <x:v>1.43</x:v>
      </x:c>
      <x:c r="P75" s="24" t="n">
        <x:v>0.68</x:v>
      </x:c>
      <x:c r="Q75" s="21" t="str">
        <x:v>Brief changed</x:v>
      </x:c>
      <x:c r="R75" s="14" t="n">
        <x:f>J75+K75</x:f>
        <x:v>316216</x:v>
      </x:c>
      <x:c r="S75" s="25" t="n">
        <x:f>J75*L75/1000000</x:f>
        <x:v>7.90404</x:v>
      </x:c>
      <x:c r="T75" s="25" t="n">
        <x:f>K75*M75/1000000</x:f>
        <x:v>11.8615</x:v>
      </x:c>
      <x:c r="U75" s="25" t="n">
        <x:f>SUM(S75:T75)</x:f>
        <x:v>19.76554</x:v>
      </x:c>
      <x:c r="V75" s="15" t="n">
        <x:f>N75-O75</x:f>
        <x:v>2.0200000000000005</x:v>
      </x:c>
      <x:c r="W75" s="25" t="n">
        <x:f>V75*$B$3</x:f>
        <x:v>101.00000000000003</x:v>
      </x:c>
      <x:c r="X75" s="25" t="n">
        <x:f>W75-U75</x:f>
        <x:v>81.23446000000003</x:v>
      </x:c>
    </x:row>
    <x:row r="76" ht="23" customHeight="1">
      <x:c r="A76" s="21" t="str">
        <x:v>W0070</x:v>
      </x:c>
      <x:c r="B76" s="22" t="n">
        <x:v>46293</x:v>
      </x:c>
      <x:c r="C76" s="21" t="str">
        <x:v>Campaign 2</x:v>
      </x:c>
      <x:c r="D76" s="21" t="str">
        <x:v>Creative</x:v>
      </x:c>
      <x:c r="E76" s="21" t="str">
        <x:v>Riley Chen</x:v>
      </x:c>
      <x:c r="F76" s="21" t="str">
        <x:v>CampaignChat</x:v>
      </x:c>
      <x:c r="G76" s="21" t="str">
        <x:v>Pro</x:v>
      </x:c>
      <x:c r="H76" s="21" t="str">
        <x:v>Develop concept brief</x:v>
      </x:c>
      <x:c r="I76" s="23" t="n">
        <x:v>11</x:v>
      </x:c>
      <x:c r="J76" s="23" t="n">
        <x:v>133133</x:v>
      </x:c>
      <x:c r="K76" s="23" t="n">
        <x:v>80884</x:v>
      </x:c>
      <x:c r="L76" s="23" t="n">
        <x:v>40</x:v>
      </x:c>
      <x:c r="M76" s="23" t="n">
        <x:v>100</x:v>
      </x:c>
      <x:c r="N76" s="24" t="n">
        <x:v>3.35</x:v>
      </x:c>
      <x:c r="O76" s="24" t="n">
        <x:v>1.73</x:v>
      </x:c>
      <x:c r="P76" s="24" t="n">
        <x:v>0.71</x:v>
      </x:c>
      <x:c r="Q76" s="21" t="str">
        <x:v>Brief changed</x:v>
      </x:c>
      <x:c r="R76" s="14" t="n">
        <x:f>J76+K76</x:f>
        <x:v>214017</x:v>
      </x:c>
      <x:c r="S76" s="25" t="n">
        <x:f>J76*L76/1000000</x:f>
        <x:v>5.32532</x:v>
      </x:c>
      <x:c r="T76" s="25" t="n">
        <x:f>K76*M76/1000000</x:f>
        <x:v>8.0884</x:v>
      </x:c>
      <x:c r="U76" s="25" t="n">
        <x:f>SUM(S76:T76)</x:f>
        <x:v>13.41372</x:v>
      </x:c>
      <x:c r="V76" s="15" t="n">
        <x:f>N76-O76</x:f>
        <x:v>1.62</x:v>
      </x:c>
      <x:c r="W76" s="25" t="n">
        <x:f>V76*$B$3</x:f>
        <x:v>81</x:v>
      </x:c>
      <x:c r="X76" s="25" t="n">
        <x:f>W76-U76</x:f>
        <x:v>67.58628</x:v>
      </x:c>
    </x:row>
    <x:row r="77" ht="23" customHeight="1">
      <x:c r="A77" s="21" t="str">
        <x:v>W0071</x:v>
      </x:c>
      <x:c r="B77" s="22" t="n">
        <x:v>46276</x:v>
      </x:c>
      <x:c r="C77" s="21" t="str">
        <x:v>Campaign 2</x:v>
      </x:c>
      <x:c r="D77" s="21" t="str">
        <x:v>Creative</x:v>
      </x:c>
      <x:c r="E77" s="21" t="str">
        <x:v>Taylor Brooks</x:v>
      </x:c>
      <x:c r="F77" s="21" t="str">
        <x:v>CampaignChat</x:v>
      </x:c>
      <x:c r="G77" s="21" t="str">
        <x:v>Lite</x:v>
      </x:c>
      <x:c r="H77" s="21" t="str">
        <x:v>Review creative variants</x:v>
      </x:c>
      <x:c r="I77" s="23" t="n">
        <x:v>20</x:v>
      </x:c>
      <x:c r="J77" s="23" t="n">
        <x:v>674195</x:v>
      </x:c>
      <x:c r="K77" s="23" t="n">
        <x:v>181933</x:v>
      </x:c>
      <x:c r="L77" s="23" t="n">
        <x:v>10</x:v>
      </x:c>
      <x:c r="M77" s="23" t="n">
        <x:v>30</x:v>
      </x:c>
      <x:c r="N77" s="24" t="n">
        <x:v>2.28</x:v>
      </x:c>
      <x:c r="O77" s="24" t="n">
        <x:v>2.68</x:v>
      </x:c>
      <x:c r="P77" s="24" t="n">
        <x:v>0.36</x:v>
      </x:c>
      <x:c r="Q77" s="21" t="str">
        <x:v>None</x:v>
      </x:c>
      <x:c r="R77" s="14" t="n">
        <x:f>J77+K77</x:f>
        <x:v>856128</x:v>
      </x:c>
      <x:c r="S77" s="25" t="n">
        <x:f>J77*L77/1000000</x:f>
        <x:v>6.74195</x:v>
      </x:c>
      <x:c r="T77" s="25" t="n">
        <x:f>K77*M77/1000000</x:f>
        <x:v>5.45799</x:v>
      </x:c>
      <x:c r="U77" s="25" t="n">
        <x:f>SUM(S77:T77)</x:f>
        <x:v>12.19994</x:v>
      </x:c>
      <x:c r="V77" s="15" t="n">
        <x:f>N77-O77</x:f>
        <x:v>-0.40000000000000036</x:v>
      </x:c>
      <x:c r="W77" s="25" t="n">
        <x:f>V77*$B$3</x:f>
        <x:v>-20.000000000000018</x:v>
      </x:c>
      <x:c r="X77" s="25" t="n">
        <x:f>W77-U77</x:f>
        <x:v>-32.19994000000002</x:v>
      </x:c>
    </x:row>
    <x:row r="78" ht="23" customHeight="1">
      <x:c r="A78" s="21" t="str">
        <x:v>W0072</x:v>
      </x:c>
      <x:c r="B78" s="22" t="n">
        <x:v>46287</x:v>
      </x:c>
      <x:c r="C78" s="21" t="str">
        <x:v>Campaign 2</x:v>
      </x:c>
      <x:c r="D78" s="21" t="str">
        <x:v>Marketing Operations</x:v>
      </x:c>
      <x:c r="E78" s="21" t="str">
        <x:v>Casey Rivera</x:v>
      </x:c>
      <x:c r="F78" s="21" t="str">
        <x:v>CopyStudio</x:v>
      </x:c>
      <x:c r="G78" s="21" t="str">
        <x:v>Lite</x:v>
      </x:c>
      <x:c r="H78" s="21" t="str">
        <x:v>Prepare launch checklist</x:v>
      </x:c>
      <x:c r="I78" s="23" t="n">
        <x:v>29</x:v>
      </x:c>
      <x:c r="J78" s="23" t="n">
        <x:v>808449</x:v>
      </x:c>
      <x:c r="K78" s="23" t="n">
        <x:v>117056</x:v>
      </x:c>
      <x:c r="L78" s="23" t="n">
        <x:v>10</x:v>
      </x:c>
      <x:c r="M78" s="23" t="n">
        <x:v>30</x:v>
      </x:c>
      <x:c r="N78" s="24" t="n">
        <x:v>2.99</x:v>
      </x:c>
      <x:c r="O78" s="24" t="n">
        <x:v>4.03</x:v>
      </x:c>
      <x:c r="P78" s="24" t="n">
        <x:v>1.43</x:v>
      </x:c>
      <x:c r="Q78" s="21" t="str">
        <x:v>Unclear prompt</x:v>
      </x:c>
      <x:c r="R78" s="14" t="n">
        <x:f>J78+K78</x:f>
        <x:v>925505</x:v>
      </x:c>
      <x:c r="S78" s="25" t="n">
        <x:f>J78*L78/1000000</x:f>
        <x:v>8.08449</x:v>
      </x:c>
      <x:c r="T78" s="25" t="n">
        <x:f>K78*M78/1000000</x:f>
        <x:v>3.51168</x:v>
      </x:c>
      <x:c r="U78" s="25" t="n">
        <x:f>SUM(S78:T78)</x:f>
        <x:v>11.59617</x:v>
      </x:c>
      <x:c r="V78" s="15" t="n">
        <x:f>N78-O78</x:f>
        <x:v>-1.04</x:v>
      </x:c>
      <x:c r="W78" s="25" t="n">
        <x:f>V78*$B$3</x:f>
        <x:v>-52</x:v>
      </x:c>
      <x:c r="X78" s="25" t="n">
        <x:f>W78-U78</x:f>
        <x:v>-63.59617</x:v>
      </x:c>
    </x:row>
    <x:row r="79" ht="23" customHeight="1">
      <x:c r="A79" s="21" t="str">
        <x:v>W0073</x:v>
      </x:c>
      <x:c r="B79" s="22" t="n">
        <x:v>46269</x:v>
      </x:c>
      <x:c r="C79" s="21" t="str">
        <x:v>Campaign 2</x:v>
      </x:c>
      <x:c r="D79" s="21" t="str">
        <x:v>Marketing Operations</x:v>
      </x:c>
      <x:c r="E79" s="21" t="str">
        <x:v>Morgan Reed</x:v>
      </x:c>
      <x:c r="F79" s="21" t="str">
        <x:v>DataFlow</x:v>
      </x:c>
      <x:c r="G79" s="21" t="str">
        <x:v>Lite</x:v>
      </x:c>
      <x:c r="H79" s="21" t="str">
        <x:v>Build campaign plan</x:v>
      </x:c>
      <x:c r="I79" s="23" t="n">
        <x:v>23</x:v>
      </x:c>
      <x:c r="J79" s="23" t="n">
        <x:v>1003562</x:v>
      </x:c>
      <x:c r="K79" s="23" t="n">
        <x:v>128037</x:v>
      </x:c>
      <x:c r="L79" s="23" t="n">
        <x:v>10</x:v>
      </x:c>
      <x:c r="M79" s="23" t="n">
        <x:v>30</x:v>
      </x:c>
      <x:c r="N79" s="24" t="n">
        <x:v>3.1</x:v>
      </x:c>
      <x:c r="O79" s="24" t="n">
        <x:v>5.22</x:v>
      </x:c>
      <x:c r="P79" s="24" t="n">
        <x:v>1.35</x:v>
      </x:c>
      <x:c r="Q79" s="21" t="str">
        <x:v>Data problem</x:v>
      </x:c>
      <x:c r="R79" s="14" t="n">
        <x:f>J79+K79</x:f>
        <x:v>1131599</x:v>
      </x:c>
      <x:c r="S79" s="25" t="n">
        <x:f>J79*L79/1000000</x:f>
        <x:v>10.03562</x:v>
      </x:c>
      <x:c r="T79" s="25" t="n">
        <x:f>K79*M79/1000000</x:f>
        <x:v>3.84111</x:v>
      </x:c>
      <x:c r="U79" s="25" t="n">
        <x:f>SUM(S79:T79)</x:f>
        <x:v>13.87673</x:v>
      </x:c>
      <x:c r="V79" s="15" t="n">
        <x:f>N79-O79</x:f>
        <x:v>-2.1199999999999997</x:v>
      </x:c>
      <x:c r="W79" s="25" t="n">
        <x:f>V79*$B$3</x:f>
        <x:v>-105.99999999999999</x:v>
      </x:c>
      <x:c r="X79" s="25" t="n">
        <x:f>W79-U79</x:f>
        <x:v>-119.87672999999998</x:v>
      </x:c>
    </x:row>
    <x:row r="80" ht="23" customHeight="1">
      <x:c r="A80" s="21" t="str">
        <x:v>W0074</x:v>
      </x:c>
      <x:c r="B80" s="22" t="n">
        <x:v>46281</x:v>
      </x:c>
      <x:c r="C80" s="21" t="str">
        <x:v>Campaign 2</x:v>
      </x:c>
      <x:c r="D80" s="21" t="str">
        <x:v>Analytics</x:v>
      </x:c>
      <x:c r="E80" s="21" t="str">
        <x:v>Quinn Parker</x:v>
      </x:c>
      <x:c r="F80" s="21" t="str">
        <x:v>InsightDesk</x:v>
      </x:c>
      <x:c r="G80" s="21" t="str">
        <x:v>Pro</x:v>
      </x:c>
      <x:c r="H80" s="21" t="str">
        <x:v>Summarize audience insights</x:v>
      </x:c>
      <x:c r="I80" s="23" t="n">
        <x:v>18</x:v>
      </x:c>
      <x:c r="J80" s="23" t="n">
        <x:v>503772</x:v>
      </x:c>
      <x:c r="K80" s="23" t="n">
        <x:v>125364</x:v>
      </x:c>
      <x:c r="L80" s="23" t="n">
        <x:v>40</x:v>
      </x:c>
      <x:c r="M80" s="23" t="n">
        <x:v>100</x:v>
      </x:c>
      <x:c r="N80" s="24" t="n">
        <x:v>3.75</x:v>
      </x:c>
      <x:c r="O80" s="24" t="n">
        <x:v>6.7</x:v>
      </x:c>
      <x:c r="P80" s="24" t="n">
        <x:v>2.48</x:v>
      </x:c>
      <x:c r="Q80" s="21" t="str">
        <x:v>Unclear prompt</x:v>
      </x:c>
      <x:c r="R80" s="14" t="n">
        <x:f>J80+K80</x:f>
        <x:v>629136</x:v>
      </x:c>
      <x:c r="S80" s="25" t="n">
        <x:f>J80*L80/1000000</x:f>
        <x:v>20.15088</x:v>
      </x:c>
      <x:c r="T80" s="25" t="n">
        <x:f>K80*M80/1000000</x:f>
        <x:v>12.5364</x:v>
      </x:c>
      <x:c r="U80" s="25" t="n">
        <x:f>SUM(S80:T80)</x:f>
        <x:v>32.68728</x:v>
      </x:c>
      <x:c r="V80" s="15" t="n">
        <x:f>N80-O80</x:f>
        <x:v>-2.95</x:v>
      </x:c>
      <x:c r="W80" s="25" t="n">
        <x:f>V80*$B$3</x:f>
        <x:v>-147.5</x:v>
      </x:c>
      <x:c r="X80" s="25" t="n">
        <x:f>W80-U80</x:f>
        <x:v>-180.18728</x:v>
      </x:c>
    </x:row>
    <x:row r="81" ht="23" customHeight="1">
      <x:c r="A81" s="21" t="str">
        <x:v>W0075</x:v>
      </x:c>
      <x:c r="B81" s="22" t="n">
        <x:v>46290</x:v>
      </x:c>
      <x:c r="C81" s="21" t="str">
        <x:v>Campaign 2</x:v>
      </x:c>
      <x:c r="D81" s="21" t="str">
        <x:v>Analytics</x:v>
      </x:c>
      <x:c r="E81" s="21" t="str">
        <x:v>Jamie Patel</x:v>
      </x:c>
      <x:c r="F81" s="21" t="str">
        <x:v>InsightDesk</x:v>
      </x:c>
      <x:c r="G81" s="21" t="str">
        <x:v>Lite</x:v>
      </x:c>
      <x:c r="H81" s="21" t="str">
        <x:v>Check measurement plan</x:v>
      </x:c>
      <x:c r="I81" s="23" t="n">
        <x:v>21</x:v>
      </x:c>
      <x:c r="J81" s="23" t="n">
        <x:v>431332</x:v>
      </x:c>
      <x:c r="K81" s="23" t="n">
        <x:v>104650</x:v>
      </x:c>
      <x:c r="L81" s="23" t="n">
        <x:v>10</x:v>
      </x:c>
      <x:c r="M81" s="23" t="n">
        <x:v>30</x:v>
      </x:c>
      <x:c r="N81" s="24" t="n">
        <x:v>3.56</x:v>
      </x:c>
      <x:c r="O81" s="24" t="n">
        <x:v>4.09</x:v>
      </x:c>
      <x:c r="P81" s="24" t="n">
        <x:v>1.32</x:v>
      </x:c>
      <x:c r="Q81" s="21" t="str">
        <x:v>Brief changed</x:v>
      </x:c>
      <x:c r="R81" s="14" t="n">
        <x:f>J81+K81</x:f>
        <x:v>535982</x:v>
      </x:c>
      <x:c r="S81" s="25" t="n">
        <x:f>J81*L81/1000000</x:f>
        <x:v>4.31332</x:v>
      </x:c>
      <x:c r="T81" s="25" t="n">
        <x:f>K81*M81/1000000</x:f>
        <x:v>3.1395</x:v>
      </x:c>
      <x:c r="U81" s="25" t="n">
        <x:f>SUM(S81:T81)</x:f>
        <x:v>7.45282</x:v>
      </x:c>
      <x:c r="V81" s="15" t="n">
        <x:f>N81-O81</x:f>
        <x:v>-0.5299999999999998</x:v>
      </x:c>
      <x:c r="W81" s="25" t="n">
        <x:f>V81*$B$3</x:f>
        <x:v>-26.49999999999999</x:v>
      </x:c>
      <x:c r="X81" s="25" t="n">
        <x:f>W81-U81</x:f>
        <x:v>-33.95281999999999</x:v>
      </x:c>
    </x:row>
    <x:row r="82" ht="23" customHeight="1">
      <x:c r="A82" s="21" t="str">
        <x:v>W0076</x:v>
      </x:c>
      <x:c r="B82" s="22" t="n">
        <x:v>46275</x:v>
      </x:c>
      <x:c r="C82" s="21" t="str">
        <x:v>Campaign 2</x:v>
      </x:c>
      <x:c r="D82" s="21" t="str">
        <x:v>Content</x:v>
      </x:c>
      <x:c r="E82" s="21" t="str">
        <x:v>Avery Morgan</x:v>
      </x:c>
      <x:c r="F82" s="21" t="str">
        <x:v>CopyStudio</x:v>
      </x:c>
      <x:c r="G82" s="21" t="str">
        <x:v>Lite</x:v>
      </x:c>
      <x:c r="H82" s="21" t="str">
        <x:v>Write ad copy</x:v>
      </x:c>
      <x:c r="I82" s="23" t="n">
        <x:v>15</x:v>
      </x:c>
      <x:c r="J82" s="23" t="n">
        <x:v>480572</x:v>
      </x:c>
      <x:c r="K82" s="23" t="n">
        <x:v>141865</x:v>
      </x:c>
      <x:c r="L82" s="23" t="n">
        <x:v>10</x:v>
      </x:c>
      <x:c r="M82" s="23" t="n">
        <x:v>30</x:v>
      </x:c>
      <x:c r="N82" s="24" t="n">
        <x:v>2.36</x:v>
      </x:c>
      <x:c r="O82" s="24" t="n">
        <x:v>4.11</x:v>
      </x:c>
      <x:c r="P82" s="24" t="n">
        <x:v>1.49</x:v>
      </x:c>
      <x:c r="Q82" s="21" t="str">
        <x:v>Brief changed</x:v>
      </x:c>
      <x:c r="R82" s="14" t="n">
        <x:f>J82+K82</x:f>
        <x:v>622437</x:v>
      </x:c>
      <x:c r="S82" s="25" t="n">
        <x:f>J82*L82/1000000</x:f>
        <x:v>4.80572</x:v>
      </x:c>
      <x:c r="T82" s="25" t="n">
        <x:f>K82*M82/1000000</x:f>
        <x:v>4.25595</x:v>
      </x:c>
      <x:c r="U82" s="25" t="n">
        <x:f>SUM(S82:T82)</x:f>
        <x:v>9.06167</x:v>
      </x:c>
      <x:c r="V82" s="15" t="n">
        <x:f>N82-O82</x:f>
        <x:v>-1.7500000000000004</x:v>
      </x:c>
      <x:c r="W82" s="25" t="n">
        <x:f>V82*$B$3</x:f>
        <x:v>-87.50000000000003</x:v>
      </x:c>
      <x:c r="X82" s="25" t="n">
        <x:f>W82-U82</x:f>
        <x:v>-96.56167000000002</x:v>
      </x:c>
    </x:row>
    <x:row r="83" ht="23" customHeight="1">
      <x:c r="A83" s="21" t="str">
        <x:v>W0077</x:v>
      </x:c>
      <x:c r="B83" s="22" t="n">
        <x:v>46286</x:v>
      </x:c>
      <x:c r="C83" s="21" t="str">
        <x:v>Campaign 2</x:v>
      </x:c>
      <x:c r="D83" s="21" t="str">
        <x:v>Content</x:v>
      </x:c>
      <x:c r="E83" s="21" t="str">
        <x:v>Jordan Ellis</x:v>
      </x:c>
      <x:c r="F83" s="21" t="str">
        <x:v>CampaignChat</x:v>
      </x:c>
      <x:c r="G83" s="21" t="str">
        <x:v>Lite</x:v>
      </x:c>
      <x:c r="H83" s="21" t="str">
        <x:v>Draft email sequence</x:v>
      </x:c>
      <x:c r="I83" s="23" t="n">
        <x:v>20</x:v>
      </x:c>
      <x:c r="J83" s="23" t="n">
        <x:v>745686</x:v>
      </x:c>
      <x:c r="K83" s="23" t="n">
        <x:v>115368</x:v>
      </x:c>
      <x:c r="L83" s="23" t="n">
        <x:v>10</x:v>
      </x:c>
      <x:c r="M83" s="23" t="n">
        <x:v>30</x:v>
      </x:c>
      <x:c r="N83" s="24" t="n">
        <x:v>3.9</x:v>
      </x:c>
      <x:c r="O83" s="24" t="n">
        <x:v>7.34</x:v>
      </x:c>
      <x:c r="P83" s="24" t="n">
        <x:v>2.32</x:v>
      </x:c>
      <x:c r="Q83" s="21" t="str">
        <x:v>Brief changed</x:v>
      </x:c>
      <x:c r="R83" s="14" t="n">
        <x:f>J83+K83</x:f>
        <x:v>861054</x:v>
      </x:c>
      <x:c r="S83" s="25" t="n">
        <x:f>J83*L83/1000000</x:f>
        <x:v>7.45686</x:v>
      </x:c>
      <x:c r="T83" s="25" t="n">
        <x:f>K83*M83/1000000</x:f>
        <x:v>3.46104</x:v>
      </x:c>
      <x:c r="U83" s="25" t="n">
        <x:f>SUM(S83:T83)</x:f>
        <x:v>10.9179</x:v>
      </x:c>
      <x:c r="V83" s="15" t="n">
        <x:f>N83-O83</x:f>
        <x:v>-3.44</x:v>
      </x:c>
      <x:c r="W83" s="25" t="n">
        <x:f>V83*$B$3</x:f>
        <x:v>-172</x:v>
      </x:c>
      <x:c r="X83" s="25" t="n">
        <x:f>W83-U83</x:f>
        <x:v>-182.9179</x:v>
      </x:c>
    </x:row>
    <x:row r="84" ht="23" customHeight="1">
      <x:c r="A84" s="21" t="str">
        <x:v>W0078</x:v>
      </x:c>
      <x:c r="B84" s="22" t="n">
        <x:v>46295</x:v>
      </x:c>
      <x:c r="C84" s="21" t="str">
        <x:v>Campaign 2</x:v>
      </x:c>
      <x:c r="D84" s="21" t="str">
        <x:v>Creative</x:v>
      </x:c>
      <x:c r="E84" s="21" t="str">
        <x:v>Riley Chen</x:v>
      </x:c>
      <x:c r="F84" s="21" t="str">
        <x:v>CampaignChat</x:v>
      </x:c>
      <x:c r="G84" s="21" t="str">
        <x:v>Lite</x:v>
      </x:c>
      <x:c r="H84" s="21" t="str">
        <x:v>Plan visual narrative</x:v>
      </x:c>
      <x:c r="I84" s="23" t="n">
        <x:v>20</x:v>
      </x:c>
      <x:c r="J84" s="23" t="n">
        <x:v>583031</x:v>
      </x:c>
      <x:c r="K84" s="23" t="n">
        <x:v>127379</x:v>
      </x:c>
      <x:c r="L84" s="23" t="n">
        <x:v>10</x:v>
      </x:c>
      <x:c r="M84" s="23" t="n">
        <x:v>30</x:v>
      </x:c>
      <x:c r="N84" s="24" t="n">
        <x:v>3.17</x:v>
      </x:c>
      <x:c r="O84" s="24" t="n">
        <x:v>4.49</x:v>
      </x:c>
      <x:c r="P84" s="24" t="n">
        <x:v>1.05</x:v>
      </x:c>
      <x:c r="Q84" s="21" t="str">
        <x:v>Unclear prompt</x:v>
      </x:c>
      <x:c r="R84" s="14" t="n">
        <x:f>J84+K84</x:f>
        <x:v>710410</x:v>
      </x:c>
      <x:c r="S84" s="25" t="n">
        <x:f>J84*L84/1000000</x:f>
        <x:v>5.83031</x:v>
      </x:c>
      <x:c r="T84" s="25" t="n">
        <x:f>K84*M84/1000000</x:f>
        <x:v>3.82137</x:v>
      </x:c>
      <x:c r="U84" s="25" t="n">
        <x:f>SUM(S84:T84)</x:f>
        <x:v>9.651679999999999</x:v>
      </x:c>
      <x:c r="V84" s="15" t="n">
        <x:f>N84-O84</x:f>
        <x:v>-1.3200000000000003</x:v>
      </x:c>
      <x:c r="W84" s="25" t="n">
        <x:f>V84*$B$3</x:f>
        <x:v>-66.00000000000001</x:v>
      </x:c>
      <x:c r="X84" s="25" t="n">
        <x:f>W84-U84</x:f>
        <x:v>-75.65168000000001</x:v>
      </x:c>
    </x:row>
    <x:row r="85" ht="23" customHeight="1">
      <x:c r="A85" s="21" t="str">
        <x:v>W0079</x:v>
      </x:c>
      <x:c r="B85" s="22" t="n">
        <x:v>46280</x:v>
      </x:c>
      <x:c r="C85" s="21" t="str">
        <x:v>Campaign 2</x:v>
      </x:c>
      <x:c r="D85" s="21" t="str">
        <x:v>Creative</x:v>
      </x:c>
      <x:c r="E85" s="21" t="str">
        <x:v>Taylor Brooks</x:v>
      </x:c>
      <x:c r="F85" s="21" t="str">
        <x:v>CampaignChat</x:v>
      </x:c>
      <x:c r="G85" s="21" t="str">
        <x:v>Pro</x:v>
      </x:c>
      <x:c r="H85" s="21" t="str">
        <x:v>Develop concept brief</x:v>
      </x:c>
      <x:c r="I85" s="23" t="n">
        <x:v>27</x:v>
      </x:c>
      <x:c r="J85" s="23" t="n">
        <x:v>335611</x:v>
      </x:c>
      <x:c r="K85" s="23" t="n">
        <x:v>292135</x:v>
      </x:c>
      <x:c r="L85" s="23" t="n">
        <x:v>40</x:v>
      </x:c>
      <x:c r="M85" s="23" t="n">
        <x:v>100</x:v>
      </x:c>
      <x:c r="N85" s="24" t="n">
        <x:v>4.43</x:v>
      </x:c>
      <x:c r="O85" s="24" t="n">
        <x:v>6.82</x:v>
      </x:c>
      <x:c r="P85" s="24" t="n">
        <x:v>3.24</x:v>
      </x:c>
      <x:c r="Q85" s="21" t="str">
        <x:v>Unclear prompt</x:v>
      </x:c>
      <x:c r="R85" s="14" t="n">
        <x:f>J85+K85</x:f>
        <x:v>627746</x:v>
      </x:c>
      <x:c r="S85" s="25" t="n">
        <x:f>J85*L85/1000000</x:f>
        <x:v>13.42444</x:v>
      </x:c>
      <x:c r="T85" s="25" t="n">
        <x:f>K85*M85/1000000</x:f>
        <x:v>29.2135</x:v>
      </x:c>
      <x:c r="U85" s="25" t="n">
        <x:f>SUM(S85:T85)</x:f>
        <x:v>42.63794</x:v>
      </x:c>
      <x:c r="V85" s="15" t="n">
        <x:f>N85-O85</x:f>
        <x:v>-2.3900000000000006</x:v>
      </x:c>
      <x:c r="W85" s="25" t="n">
        <x:f>V85*$B$3</x:f>
        <x:v>-119.50000000000003</x:v>
      </x:c>
      <x:c r="X85" s="25" t="n">
        <x:f>W85-U85</x:f>
        <x:v>-162.13794000000001</x:v>
      </x:c>
    </x:row>
    <x:row r="86" ht="23" customHeight="1">
      <x:c r="A86" s="21" t="str">
        <x:v>W0080</x:v>
      </x:c>
      <x:c r="B86" s="22" t="n">
        <x:v>46289</x:v>
      </x:c>
      <x:c r="C86" s="21" t="str">
        <x:v>Campaign 2</x:v>
      </x:c>
      <x:c r="D86" s="21" t="str">
        <x:v>Marketing Operations</x:v>
      </x:c>
      <x:c r="E86" s="21" t="str">
        <x:v>Casey Rivera</x:v>
      </x:c>
      <x:c r="F86" s="21" t="str">
        <x:v>DataFlow</x:v>
      </x:c>
      <x:c r="G86" s="21" t="str">
        <x:v>Pro</x:v>
      </x:c>
      <x:c r="H86" s="21" t="str">
        <x:v>Clean audience data</x:v>
      </x:c>
      <x:c r="I86" s="23" t="n">
        <x:v>26</x:v>
      </x:c>
      <x:c r="J86" s="23" t="n">
        <x:v>703736</x:v>
      </x:c>
      <x:c r="K86" s="23" t="n">
        <x:v>332836</x:v>
      </x:c>
      <x:c r="L86" s="23" t="n">
        <x:v>40</x:v>
      </x:c>
      <x:c r="M86" s="23" t="n">
        <x:v>100</x:v>
      </x:c>
      <x:c r="N86" s="24" t="n">
        <x:v>3.35</x:v>
      </x:c>
      <x:c r="O86" s="24" t="n">
        <x:v>4.58</x:v>
      </x:c>
      <x:c r="P86" s="24" t="n">
        <x:v>1.28</x:v>
      </x:c>
      <x:c r="Q86" s="21" t="str">
        <x:v>Unclear prompt</x:v>
      </x:c>
      <x:c r="R86" s="14" t="n">
        <x:f>J86+K86</x:f>
        <x:v>1036572</x:v>
      </x:c>
      <x:c r="S86" s="25" t="n">
        <x:f>J86*L86/1000000</x:f>
        <x:v>28.14944</x:v>
      </x:c>
      <x:c r="T86" s="25" t="n">
        <x:f>K86*M86/1000000</x:f>
        <x:v>33.2836</x:v>
      </x:c>
      <x:c r="U86" s="25" t="n">
        <x:f>SUM(S86:T86)</x:f>
        <x:v>61.43304</x:v>
      </x:c>
      <x:c r="V86" s="15" t="n">
        <x:f>N86-O86</x:f>
        <x:v>-1.23</x:v>
      </x:c>
      <x:c r="W86" s="25" t="n">
        <x:f>V86*$B$3</x:f>
        <x:v>-61.5</x:v>
      </x:c>
      <x:c r="X86" s="25" t="n">
        <x:f>W86-U86</x:f>
        <x:v>-122.93304</x:v>
      </x:c>
    </x:row>
    <x:row r="87" ht="23" customHeight="1">
      <x:c r="A87" s="21" t="str">
        <x:v>W0081</x:v>
      </x:c>
      <x:c r="B87" s="22" t="n">
        <x:v>46274</x:v>
      </x:c>
      <x:c r="C87" s="21" t="str">
        <x:v>Campaign 2</x:v>
      </x:c>
      <x:c r="D87" s="21" t="str">
        <x:v>Marketing Operations</x:v>
      </x:c>
      <x:c r="E87" s="21" t="str">
        <x:v>Morgan Reed</x:v>
      </x:c>
      <x:c r="F87" s="21" t="str">
        <x:v>DataFlow</x:v>
      </x:c>
      <x:c r="G87" s="21" t="str">
        <x:v>Pro</x:v>
      </x:c>
      <x:c r="H87" s="21" t="str">
        <x:v>Prepare launch checklist</x:v>
      </x:c>
      <x:c r="I87" s="23" t="n">
        <x:v>20</x:v>
      </x:c>
      <x:c r="J87" s="23" t="n">
        <x:v>471879</x:v>
      </x:c>
      <x:c r="K87" s="23" t="n">
        <x:v>227069</x:v>
      </x:c>
      <x:c r="L87" s="23" t="n">
        <x:v>40</x:v>
      </x:c>
      <x:c r="M87" s="23" t="n">
        <x:v>100</x:v>
      </x:c>
      <x:c r="N87" s="24" t="n">
        <x:v>4.11</x:v>
      </x:c>
      <x:c r="O87" s="24" t="n">
        <x:v>5.75</x:v>
      </x:c>
      <x:c r="P87" s="24" t="n">
        <x:v>2.22</x:v>
      </x:c>
      <x:c r="Q87" s="21" t="str">
        <x:v>Data problem</x:v>
      </x:c>
      <x:c r="R87" s="14" t="n">
        <x:f>J87+K87</x:f>
        <x:v>698948</x:v>
      </x:c>
      <x:c r="S87" s="25" t="n">
        <x:f>J87*L87/1000000</x:f>
        <x:v>18.87516</x:v>
      </x:c>
      <x:c r="T87" s="25" t="n">
        <x:f>K87*M87/1000000</x:f>
        <x:v>22.7069</x:v>
      </x:c>
      <x:c r="U87" s="25" t="n">
        <x:f>SUM(S87:T87)</x:f>
        <x:v>41.58206</x:v>
      </x:c>
      <x:c r="V87" s="15" t="n">
        <x:f>N87-O87</x:f>
        <x:v>-1.6399999999999997</x:v>
      </x:c>
      <x:c r="W87" s="25" t="n">
        <x:f>V87*$B$3</x:f>
        <x:v>-81.99999999999999</x:v>
      </x:c>
      <x:c r="X87" s="25" t="n">
        <x:f>W87-U87</x:f>
        <x:v>-123.58205999999998</x:v>
      </x:c>
    </x:row>
    <x:row r="88" ht="23" customHeight="1">
      <x:c r="A88" s="21" t="str">
        <x:v>W0082</x:v>
      </x:c>
      <x:c r="B88" s="22" t="n">
        <x:v>46283</x:v>
      </x:c>
      <x:c r="C88" s="21" t="str">
        <x:v>Campaign 2</x:v>
      </x:c>
      <x:c r="D88" s="21" t="str">
        <x:v>Analytics</x:v>
      </x:c>
      <x:c r="E88" s="21" t="str">
        <x:v>Quinn Parker</x:v>
      </x:c>
      <x:c r="F88" s="21" t="str">
        <x:v>InsightDesk</x:v>
      </x:c>
      <x:c r="G88" s="21" t="str">
        <x:v>Pro</x:v>
      </x:c>
      <x:c r="H88" s="21" t="str">
        <x:v>Analyze campaign results</x:v>
      </x:c>
      <x:c r="I88" s="23" t="n">
        <x:v>17</x:v>
      </x:c>
      <x:c r="J88" s="23" t="n">
        <x:v>470317</x:v>
      </x:c>
      <x:c r="K88" s="23" t="n">
        <x:v>153135</x:v>
      </x:c>
      <x:c r="L88" s="23" t="n">
        <x:v>40</x:v>
      </x:c>
      <x:c r="M88" s="23" t="n">
        <x:v>100</x:v>
      </x:c>
      <x:c r="N88" s="24" t="n">
        <x:v>4.44</x:v>
      </x:c>
      <x:c r="O88" s="24" t="n">
        <x:v>6.94</x:v>
      </x:c>
      <x:c r="P88" s="24" t="n">
        <x:v>3</x:v>
      </x:c>
      <x:c r="Q88" s="21" t="str">
        <x:v>Data problem</x:v>
      </x:c>
      <x:c r="R88" s="14" t="n">
        <x:f>J88+K88</x:f>
        <x:v>623452</x:v>
      </x:c>
      <x:c r="S88" s="25" t="n">
        <x:f>J88*L88/1000000</x:f>
        <x:v>18.81268</x:v>
      </x:c>
      <x:c r="T88" s="25" t="n">
        <x:f>K88*M88/1000000</x:f>
        <x:v>15.3135</x:v>
      </x:c>
      <x:c r="U88" s="25" t="n">
        <x:f>SUM(S88:T88)</x:f>
        <x:v>34.12618</x:v>
      </x:c>
      <x:c r="V88" s="15" t="n">
        <x:f>N88-O88</x:f>
        <x:v>-2.5</x:v>
      </x:c>
      <x:c r="W88" s="25" t="n">
        <x:f>V88*$B$3</x:f>
        <x:v>-125</x:v>
      </x:c>
      <x:c r="X88" s="25" t="n">
        <x:f>W88-U88</x:f>
        <x:v>-159.12618</x:v>
      </x:c>
    </x:row>
    <x:row r="89" ht="23" customHeight="1">
      <x:c r="A89" s="21" t="str">
        <x:v>W0083</x:v>
      </x:c>
      <x:c r="B89" s="22" t="n">
        <x:v>46294</x:v>
      </x:c>
      <x:c r="C89" s="21" t="str">
        <x:v>Campaign 2</x:v>
      </x:c>
      <x:c r="D89" s="21" t="str">
        <x:v>Analytics</x:v>
      </x:c>
      <x:c r="E89" s="21" t="str">
        <x:v>Jamie Patel</x:v>
      </x:c>
      <x:c r="F89" s="21" t="str">
        <x:v>InsightDesk</x:v>
      </x:c>
      <x:c r="G89" s="21" t="str">
        <x:v>Lite</x:v>
      </x:c>
      <x:c r="H89" s="21" t="str">
        <x:v>Summarize audience insights</x:v>
      </x:c>
      <x:c r="I89" s="23" t="n">
        <x:v>21</x:v>
      </x:c>
      <x:c r="J89" s="23" t="n">
        <x:v>643979</x:v>
      </x:c>
      <x:c r="K89" s="23" t="n">
        <x:v>118711</x:v>
      </x:c>
      <x:c r="L89" s="23" t="n">
        <x:v>10</x:v>
      </x:c>
      <x:c r="M89" s="23" t="n">
        <x:v>30</x:v>
      </x:c>
      <x:c r="N89" s="24" t="n">
        <x:v>3.87</x:v>
      </x:c>
      <x:c r="O89" s="24" t="n">
        <x:v>6.66</x:v>
      </x:c>
      <x:c r="P89" s="24" t="n">
        <x:v>3.04</x:v>
      </x:c>
      <x:c r="Q89" s="21" t="str">
        <x:v>Brief changed</x:v>
      </x:c>
      <x:c r="R89" s="14" t="n">
        <x:f>J89+K89</x:f>
        <x:v>762690</x:v>
      </x:c>
      <x:c r="S89" s="25" t="n">
        <x:f>J89*L89/1000000</x:f>
        <x:v>6.43979</x:v>
      </x:c>
      <x:c r="T89" s="25" t="n">
        <x:f>K89*M89/1000000</x:f>
        <x:v>3.56133</x:v>
      </x:c>
      <x:c r="U89" s="25" t="n">
        <x:f>SUM(S89:T89)</x:f>
        <x:v>10.00112</x:v>
      </x:c>
      <x:c r="V89" s="15" t="n">
        <x:f>N89-O89</x:f>
        <x:v>-2.79</x:v>
      </x:c>
      <x:c r="W89" s="25" t="n">
        <x:f>V89*$B$3</x:f>
        <x:v>-139.5</x:v>
      </x:c>
      <x:c r="X89" s="25" t="n">
        <x:f>W89-U89</x:f>
        <x:v>-149.50112000000001</x:v>
      </x:c>
    </x:row>
    <x:row r="90" ht="23" customHeight="1">
      <x:c r="A90" s="21" t="str">
        <x:v>W0084</x:v>
      </x:c>
      <x:c r="B90" s="22" t="n">
        <x:v>46279</x:v>
      </x:c>
      <x:c r="C90" s="21" t="str">
        <x:v>Campaign 2</x:v>
      </x:c>
      <x:c r="D90" s="21" t="str">
        <x:v>Content</x:v>
      </x:c>
      <x:c r="E90" s="21" t="str">
        <x:v>Avery Morgan</x:v>
      </x:c>
      <x:c r="F90" s="21" t="str">
        <x:v>CopyStudio</x:v>
      </x:c>
      <x:c r="G90" s="21" t="str">
        <x:v>Lite</x:v>
      </x:c>
      <x:c r="H90" s="21" t="str">
        <x:v>Edit landing page</x:v>
      </x:c>
      <x:c r="I90" s="23" t="n">
        <x:v>24</x:v>
      </x:c>
      <x:c r="J90" s="23" t="n">
        <x:v>668726</x:v>
      </x:c>
      <x:c r="K90" s="23" t="n">
        <x:v>182013</x:v>
      </x:c>
      <x:c r="L90" s="23" t="n">
        <x:v>10</x:v>
      </x:c>
      <x:c r="M90" s="23" t="n">
        <x:v>30</x:v>
      </x:c>
      <x:c r="N90" s="24" t="n">
        <x:v>4.43</x:v>
      </x:c>
      <x:c r="O90" s="24" t="n">
        <x:v>6.43</x:v>
      </x:c>
      <x:c r="P90" s="24" t="n">
        <x:v>1.42</x:v>
      </x:c>
      <x:c r="Q90" s="21" t="str">
        <x:v>None</x:v>
      </x:c>
      <x:c r="R90" s="14" t="n">
        <x:f>J90+K90</x:f>
        <x:v>850739</x:v>
      </x:c>
      <x:c r="S90" s="25" t="n">
        <x:f>J90*L90/1000000</x:f>
        <x:v>6.68726</x:v>
      </x:c>
      <x:c r="T90" s="25" t="n">
        <x:f>K90*M90/1000000</x:f>
        <x:v>5.46039</x:v>
      </x:c>
      <x:c r="U90" s="25" t="n">
        <x:f>SUM(S90:T90)</x:f>
        <x:v>12.14765</x:v>
      </x:c>
      <x:c r="V90" s="15" t="n">
        <x:f>N90-O90</x:f>
        <x:v>-2</x:v>
      </x:c>
      <x:c r="W90" s="25" t="n">
        <x:f>V90*$B$3</x:f>
        <x:v>-100</x:v>
      </x:c>
      <x:c r="X90" s="25" t="n">
        <x:f>W90-U90</x:f>
        <x:v>-112.14765</x:v>
      </x:c>
    </x:row>
    <x:row r="91" ht="23" customHeight="1">
      <x:c r="A91" s="21" t="str">
        <x:v>W0085</x:v>
      </x:c>
      <x:c r="B91" s="22" t="n">
        <x:v>46288</x:v>
      </x:c>
      <x:c r="C91" s="21" t="str">
        <x:v>Campaign 2</x:v>
      </x:c>
      <x:c r="D91" s="21" t="str">
        <x:v>Content</x:v>
      </x:c>
      <x:c r="E91" s="21" t="str">
        <x:v>Jordan Ellis</x:v>
      </x:c>
      <x:c r="F91" s="21" t="str">
        <x:v>CopyStudio</x:v>
      </x:c>
      <x:c r="G91" s="21" t="str">
        <x:v>Pro</x:v>
      </x:c>
      <x:c r="H91" s="21" t="str">
        <x:v>Write ad copy</x:v>
      </x:c>
      <x:c r="I91" s="23" t="n">
        <x:v>18</x:v>
      </x:c>
      <x:c r="J91" s="23" t="n">
        <x:v>388503</x:v>
      </x:c>
      <x:c r="K91" s="23" t="n">
        <x:v>124702</x:v>
      </x:c>
      <x:c r="L91" s="23" t="n">
        <x:v>40</x:v>
      </x:c>
      <x:c r="M91" s="23" t="n">
        <x:v>100</x:v>
      </x:c>
      <x:c r="N91" s="24" t="n">
        <x:v>2.32</x:v>
      </x:c>
      <x:c r="O91" s="24" t="n">
        <x:v>4.27</x:v>
      </x:c>
      <x:c r="P91" s="24" t="n">
        <x:v>1.11</x:v>
      </x:c>
      <x:c r="Q91" s="21" t="str">
        <x:v>Brief changed</x:v>
      </x:c>
      <x:c r="R91" s="14" t="n">
        <x:f>J91+K91</x:f>
        <x:v>513205</x:v>
      </x:c>
      <x:c r="S91" s="25" t="n">
        <x:f>J91*L91/1000000</x:f>
        <x:v>15.54012</x:v>
      </x:c>
      <x:c r="T91" s="25" t="n">
        <x:f>K91*M91/1000000</x:f>
        <x:v>12.4702</x:v>
      </x:c>
      <x:c r="U91" s="25" t="n">
        <x:f>SUM(S91:T91)</x:f>
        <x:v>28.01032</x:v>
      </x:c>
      <x:c r="V91" s="15" t="n">
        <x:f>N91-O91</x:f>
        <x:v>-1.9499999999999997</x:v>
      </x:c>
      <x:c r="W91" s="25" t="n">
        <x:f>V91*$B$3</x:f>
        <x:v>-97.49999999999999</x:v>
      </x:c>
      <x:c r="X91" s="25" t="n">
        <x:f>W91-U91</x:f>
        <x:v>-125.51031999999998</x:v>
      </x:c>
    </x:row>
    <x:row r="92" ht="23" customHeight="1">
      <x:c r="A92" s="21" t="str">
        <x:v>W0086</x:v>
      </x:c>
      <x:c r="B92" s="22" t="n">
        <x:v>46273</x:v>
      </x:c>
      <x:c r="C92" s="21" t="str">
        <x:v>Campaign 2</x:v>
      </x:c>
      <x:c r="D92" s="21" t="str">
        <x:v>Creative</x:v>
      </x:c>
      <x:c r="E92" s="21" t="str">
        <x:v>Riley Chen</x:v>
      </x:c>
      <x:c r="F92" s="21" t="str">
        <x:v>CampaignChat</x:v>
      </x:c>
      <x:c r="G92" s="21" t="str">
        <x:v>Pro</x:v>
      </x:c>
      <x:c r="H92" s="21" t="str">
        <x:v>Review creative variants</x:v>
      </x:c>
      <x:c r="I92" s="23" t="n">
        <x:v>20</x:v>
      </x:c>
      <x:c r="J92" s="23" t="n">
        <x:v>552607</x:v>
      </x:c>
      <x:c r="K92" s="23" t="n">
        <x:v>169553</x:v>
      </x:c>
      <x:c r="L92" s="23" t="n">
        <x:v>40</x:v>
      </x:c>
      <x:c r="M92" s="23" t="n">
        <x:v>100</x:v>
      </x:c>
      <x:c r="N92" s="24" t="n">
        <x:v>2.33</x:v>
      </x:c>
      <x:c r="O92" s="24" t="n">
        <x:v>2.73</x:v>
      </x:c>
      <x:c r="P92" s="24" t="n">
        <x:v>1.07</x:v>
      </x:c>
      <x:c r="Q92" s="21" t="str">
        <x:v>Unclear prompt</x:v>
      </x:c>
      <x:c r="R92" s="14" t="n">
        <x:f>J92+K92</x:f>
        <x:v>722160</x:v>
      </x:c>
      <x:c r="S92" s="25" t="n">
        <x:f>J92*L92/1000000</x:f>
        <x:v>22.10428</x:v>
      </x:c>
      <x:c r="T92" s="25" t="n">
        <x:f>K92*M92/1000000</x:f>
        <x:v>16.9553</x:v>
      </x:c>
      <x:c r="U92" s="25" t="n">
        <x:f>SUM(S92:T92)</x:f>
        <x:v>39.05958</x:v>
      </x:c>
      <x:c r="V92" s="15" t="n">
        <x:f>N92-O92</x:f>
        <x:v>-0.3999999999999999</x:v>
      </x:c>
      <x:c r="W92" s="25" t="n">
        <x:f>V92*$B$3</x:f>
        <x:v>-19.999999999999996</x:v>
      </x:c>
      <x:c r="X92" s="25" t="n">
        <x:f>W92-U92</x:f>
        <x:v>-59.05958</x:v>
      </x:c>
    </x:row>
    <x:row r="93" ht="23" customHeight="1">
      <x:c r="A93" s="21" t="str">
        <x:v>W0087</x:v>
      </x:c>
      <x:c r="B93" s="22" t="n">
        <x:v>46282</x:v>
      </x:c>
      <x:c r="C93" s="21" t="str">
        <x:v>Campaign 2</x:v>
      </x:c>
      <x:c r="D93" s="21" t="str">
        <x:v>Creative</x:v>
      </x:c>
      <x:c r="E93" s="21" t="str">
        <x:v>Taylor Brooks</x:v>
      </x:c>
      <x:c r="F93" s="21" t="str">
        <x:v>CampaignChat</x:v>
      </x:c>
      <x:c r="G93" s="21" t="str">
        <x:v>Pro</x:v>
      </x:c>
      <x:c r="H93" s="21" t="str">
        <x:v>Plan visual narrative</x:v>
      </x:c>
      <x:c r="I93" s="23" t="n">
        <x:v>21</x:v>
      </x:c>
      <x:c r="J93" s="23" t="n">
        <x:v>429570</x:v>
      </x:c>
      <x:c r="K93" s="23" t="n">
        <x:v>246288</x:v>
      </x:c>
      <x:c r="L93" s="23" t="n">
        <x:v>40</x:v>
      </x:c>
      <x:c r="M93" s="23" t="n">
        <x:v>100</x:v>
      </x:c>
      <x:c r="N93" s="24" t="n">
        <x:v>3.71</x:v>
      </x:c>
      <x:c r="O93" s="24" t="n">
        <x:v>5.93</x:v>
      </x:c>
      <x:c r="P93" s="24" t="n">
        <x:v>0.76</x:v>
      </x:c>
      <x:c r="Q93" s="21" t="str">
        <x:v>None</x:v>
      </x:c>
      <x:c r="R93" s="14" t="n">
        <x:f>J93+K93</x:f>
        <x:v>675858</x:v>
      </x:c>
      <x:c r="S93" s="25" t="n">
        <x:f>J93*L93/1000000</x:f>
        <x:v>17.1828</x:v>
      </x:c>
      <x:c r="T93" s="25" t="n">
        <x:f>K93*M93/1000000</x:f>
        <x:v>24.6288</x:v>
      </x:c>
      <x:c r="U93" s="25" t="n">
        <x:f>SUM(S93:T93)</x:f>
        <x:v>41.8116</x:v>
      </x:c>
      <x:c r="V93" s="15" t="n">
        <x:f>N93-O93</x:f>
        <x:v>-2.2199999999999998</x:v>
      </x:c>
      <x:c r="W93" s="25" t="n">
        <x:f>V93*$B$3</x:f>
        <x:v>-110.99999999999999</x:v>
      </x:c>
      <x:c r="X93" s="25" t="n">
        <x:f>W93-U93</x:f>
        <x:v>-152.8116</x:v>
      </x:c>
    </x:row>
    <x:row r="94" ht="23" customHeight="1">
      <x:c r="A94" s="21" t="str">
        <x:v>W0088</x:v>
      </x:c>
      <x:c r="B94" s="22" t="n">
        <x:v>46293</x:v>
      </x:c>
      <x:c r="C94" s="21" t="str">
        <x:v>Campaign 2</x:v>
      </x:c>
      <x:c r="D94" s="21" t="str">
        <x:v>Marketing Operations</x:v>
      </x:c>
      <x:c r="E94" s="21" t="str">
        <x:v>Casey Rivera</x:v>
      </x:c>
      <x:c r="F94" s="21" t="str">
        <x:v>DataFlow</x:v>
      </x:c>
      <x:c r="G94" s="21" t="str">
        <x:v>Lite</x:v>
      </x:c>
      <x:c r="H94" s="21" t="str">
        <x:v>Build campaign plan</x:v>
      </x:c>
      <x:c r="I94" s="23" t="n">
        <x:v>27</x:v>
      </x:c>
      <x:c r="J94" s="23" t="n">
        <x:v>789163</x:v>
      </x:c>
      <x:c r="K94" s="23" t="n">
        <x:v>110858</x:v>
      </x:c>
      <x:c r="L94" s="23" t="n">
        <x:v>10</x:v>
      </x:c>
      <x:c r="M94" s="23" t="n">
        <x:v>30</x:v>
      </x:c>
      <x:c r="N94" s="24" t="n">
        <x:v>3.08</x:v>
      </x:c>
      <x:c r="O94" s="24" t="n">
        <x:v>3.79</x:v>
      </x:c>
      <x:c r="P94" s="24" t="n">
        <x:v>0.82</x:v>
      </x:c>
      <x:c r="Q94" s="21" t="str">
        <x:v>Brief changed</x:v>
      </x:c>
      <x:c r="R94" s="14" t="n">
        <x:f>J94+K94</x:f>
        <x:v>900021</x:v>
      </x:c>
      <x:c r="S94" s="25" t="n">
        <x:f>J94*L94/1000000</x:f>
        <x:v>7.89163</x:v>
      </x:c>
      <x:c r="T94" s="25" t="n">
        <x:f>K94*M94/1000000</x:f>
        <x:v>3.32574</x:v>
      </x:c>
      <x:c r="U94" s="25" t="n">
        <x:f>SUM(S94:T94)</x:f>
        <x:v>11.21737</x:v>
      </x:c>
      <x:c r="V94" s="15" t="n">
        <x:f>N94-O94</x:f>
        <x:v>-0.71</x:v>
      </x:c>
      <x:c r="W94" s="25" t="n">
        <x:f>V94*$B$3</x:f>
        <x:v>-35.5</x:v>
      </x:c>
      <x:c r="X94" s="25" t="n">
        <x:f>W94-U94</x:f>
        <x:v>-46.71737</x:v>
      </x:c>
    </x:row>
    <x:row r="95" ht="23" customHeight="1">
      <x:c r="A95" s="21" t="str">
        <x:v>W0089</x:v>
      </x:c>
      <x:c r="B95" s="22" t="n">
        <x:v>46276</x:v>
      </x:c>
      <x:c r="C95" s="21" t="str">
        <x:v>Campaign 2</x:v>
      </x:c>
      <x:c r="D95" s="21" t="str">
        <x:v>Marketing Operations</x:v>
      </x:c>
      <x:c r="E95" s="21" t="str">
        <x:v>Morgan Reed</x:v>
      </x:c>
      <x:c r="F95" s="21" t="str">
        <x:v>DataFlow</x:v>
      </x:c>
      <x:c r="G95" s="21" t="str">
        <x:v>Lite</x:v>
      </x:c>
      <x:c r="H95" s="21" t="str">
        <x:v>Clean audience data</x:v>
      </x:c>
      <x:c r="I95" s="23" t="n">
        <x:v>23</x:v>
      </x:c>
      <x:c r="J95" s="23" t="n">
        <x:v>469010</x:v>
      </x:c>
      <x:c r="K95" s="23" t="n">
        <x:v>118818</x:v>
      </x:c>
      <x:c r="L95" s="23" t="n">
        <x:v>10</x:v>
      </x:c>
      <x:c r="M95" s="23" t="n">
        <x:v>30</x:v>
      </x:c>
      <x:c r="N95" s="24" t="n">
        <x:v>3.89</x:v>
      </x:c>
      <x:c r="O95" s="24" t="n">
        <x:v>5.24</x:v>
      </x:c>
      <x:c r="P95" s="24" t="n">
        <x:v>1.76</x:v>
      </x:c>
      <x:c r="Q95" s="21" t="str">
        <x:v>Brief changed</x:v>
      </x:c>
      <x:c r="R95" s="14" t="n">
        <x:f>J95+K95</x:f>
        <x:v>587828</x:v>
      </x:c>
      <x:c r="S95" s="25" t="n">
        <x:f>J95*L95/1000000</x:f>
        <x:v>4.6901</x:v>
      </x:c>
      <x:c r="T95" s="25" t="n">
        <x:f>K95*M95/1000000</x:f>
        <x:v>3.56454</x:v>
      </x:c>
      <x:c r="U95" s="25" t="n">
        <x:f>SUM(S95:T95)</x:f>
        <x:v>8.25464</x:v>
      </x:c>
      <x:c r="V95" s="15" t="n">
        <x:f>N95-O95</x:f>
        <x:v>-1.35</x:v>
      </x:c>
      <x:c r="W95" s="25" t="n">
        <x:f>V95*$B$3</x:f>
        <x:v>-67.5</x:v>
      </x:c>
      <x:c r="X95" s="25" t="n">
        <x:f>W95-U95</x:f>
        <x:v>-75.75464</x:v>
      </x:c>
    </x:row>
    <x:row r="96" ht="23" customHeight="1">
      <x:c r="A96" s="21" t="str">
        <x:v>W0090</x:v>
      </x:c>
      <x:c r="B96" s="22" t="n">
        <x:v>46287</x:v>
      </x:c>
      <x:c r="C96" s="21" t="str">
        <x:v>Campaign 2</x:v>
      </x:c>
      <x:c r="D96" s="21" t="str">
        <x:v>Analytics</x:v>
      </x:c>
      <x:c r="E96" s="21" t="str">
        <x:v>Quinn Parker</x:v>
      </x:c>
      <x:c r="F96" s="21" t="str">
        <x:v>InsightDesk</x:v>
      </x:c>
      <x:c r="G96" s="21" t="str">
        <x:v>Pro</x:v>
      </x:c>
      <x:c r="H96" s="21" t="str">
        <x:v>Check measurement plan</x:v>
      </x:c>
      <x:c r="I96" s="23" t="n">
        <x:v>18</x:v>
      </x:c>
      <x:c r="J96" s="23" t="n">
        <x:v>277889</x:v>
      </x:c>
      <x:c r="K96" s="23" t="n">
        <x:v>207693</x:v>
      </x:c>
      <x:c r="L96" s="23" t="n">
        <x:v>40</x:v>
      </x:c>
      <x:c r="M96" s="23" t="n">
        <x:v>100</x:v>
      </x:c>
      <x:c r="N96" s="24" t="n">
        <x:v>4.07</x:v>
      </x:c>
      <x:c r="O96" s="24" t="n">
        <x:v>7.66</x:v>
      </x:c>
      <x:c r="P96" s="24" t="n">
        <x:v>2.66</x:v>
      </x:c>
      <x:c r="Q96" s="21" t="str">
        <x:v>Data problem</x:v>
      </x:c>
      <x:c r="R96" s="14" t="n">
        <x:f>J96+K96</x:f>
        <x:v>485582</x:v>
      </x:c>
      <x:c r="S96" s="25" t="n">
        <x:f>J96*L96/1000000</x:f>
        <x:v>11.11556</x:v>
      </x:c>
      <x:c r="T96" s="25" t="n">
        <x:f>K96*M96/1000000</x:f>
        <x:v>20.7693</x:v>
      </x:c>
      <x:c r="U96" s="25" t="n">
        <x:f>SUM(S96:T96)</x:f>
        <x:v>31.884860000000003</x:v>
      </x:c>
      <x:c r="V96" s="15" t="n">
        <x:f>N96-O96</x:f>
        <x:v>-3.59</x:v>
      </x:c>
      <x:c r="W96" s="25" t="n">
        <x:f>V96*$B$3</x:f>
        <x:v>-179.5</x:v>
      </x:c>
      <x:c r="X96" s="25" t="n">
        <x:f>W96-U96</x:f>
        <x:v>-211.38486</x:v>
      </x:c>
    </x:row>
    <x:row r="97" ht="23" customHeight="1">
      <x:c r="A97" s="21" t="str">
        <x:v>W0091</x:v>
      </x:c>
      <x:c r="B97" s="22" t="n">
        <x:v>46269</x:v>
      </x:c>
      <x:c r="C97" s="21" t="str">
        <x:v>Campaign 2</x:v>
      </x:c>
      <x:c r="D97" s="21" t="str">
        <x:v>Analytics</x:v>
      </x:c>
      <x:c r="E97" s="21" t="str">
        <x:v>Jamie Patel</x:v>
      </x:c>
      <x:c r="F97" s="21" t="str">
        <x:v>CopyStudio</x:v>
      </x:c>
      <x:c r="G97" s="21" t="str">
        <x:v>Lite</x:v>
      </x:c>
      <x:c r="H97" s="21" t="str">
        <x:v>Analyze campaign results</x:v>
      </x:c>
      <x:c r="I97" s="23" t="n">
        <x:v>27</x:v>
      </x:c>
      <x:c r="J97" s="23" t="n">
        <x:v>1113358</x:v>
      </x:c>
      <x:c r="K97" s="23" t="n">
        <x:v>236361</x:v>
      </x:c>
      <x:c r="L97" s="23" t="n">
        <x:v>10</x:v>
      </x:c>
      <x:c r="M97" s="23" t="n">
        <x:v>30</x:v>
      </x:c>
      <x:c r="N97" s="24" t="n">
        <x:v>4.18</x:v>
      </x:c>
      <x:c r="O97" s="24" t="n">
        <x:v>6.3</x:v>
      </x:c>
      <x:c r="P97" s="24" t="n">
        <x:v>2.97</x:v>
      </x:c>
      <x:c r="Q97" s="21" t="str">
        <x:v>Data problem</x:v>
      </x:c>
      <x:c r="R97" s="14" t="n">
        <x:f>J97+K97</x:f>
        <x:v>1349719</x:v>
      </x:c>
      <x:c r="S97" s="25" t="n">
        <x:f>J97*L97/1000000</x:f>
        <x:v>11.13358</x:v>
      </x:c>
      <x:c r="T97" s="25" t="n">
        <x:f>K97*M97/1000000</x:f>
        <x:v>7.09083</x:v>
      </x:c>
      <x:c r="U97" s="25" t="n">
        <x:f>SUM(S97:T97)</x:f>
        <x:v>18.22441</x:v>
      </x:c>
      <x:c r="V97" s="15" t="n">
        <x:f>N97-O97</x:f>
        <x:v>-2.12</x:v>
      </x:c>
      <x:c r="W97" s="25" t="n">
        <x:f>V97*$B$3</x:f>
        <x:v>-106</x:v>
      </x:c>
      <x:c r="X97" s="25" t="n">
        <x:f>W97-U97</x:f>
        <x:v>-124.22441</x:v>
      </x:c>
    </x:row>
    <x:row r="98" ht="23" customHeight="1">
      <x:c r="A98" s="21" t="str">
        <x:v>W0092</x:v>
      </x:c>
      <x:c r="B98" s="22" t="n">
        <x:v>46281</x:v>
      </x:c>
      <x:c r="C98" s="21" t="str">
        <x:v>Campaign 2</x:v>
      </x:c>
      <x:c r="D98" s="21" t="str">
        <x:v>Content</x:v>
      </x:c>
      <x:c r="E98" s="21" t="str">
        <x:v>Avery Morgan</x:v>
      </x:c>
      <x:c r="F98" s="21" t="str">
        <x:v>CopyStudio</x:v>
      </x:c>
      <x:c r="G98" s="21" t="str">
        <x:v>Lite</x:v>
      </x:c>
      <x:c r="H98" s="21" t="str">
        <x:v>Draft email sequence</x:v>
      </x:c>
      <x:c r="I98" s="23" t="n">
        <x:v>27</x:v>
      </x:c>
      <x:c r="J98" s="23" t="n">
        <x:v>898728</x:v>
      </x:c>
      <x:c r="K98" s="23" t="n">
        <x:v>243656</x:v>
      </x:c>
      <x:c r="L98" s="23" t="n">
        <x:v>10</x:v>
      </x:c>
      <x:c r="M98" s="23" t="n">
        <x:v>30</x:v>
      </x:c>
      <x:c r="N98" s="24" t="n">
        <x:v>3.2</x:v>
      </x:c>
      <x:c r="O98" s="24" t="n">
        <x:v>3.75</x:v>
      </x:c>
      <x:c r="P98" s="24" t="n">
        <x:v>1.35</x:v>
      </x:c>
      <x:c r="Q98" s="21" t="str">
        <x:v>Brief changed</x:v>
      </x:c>
      <x:c r="R98" s="14" t="n">
        <x:f>J98+K98</x:f>
        <x:v>1142384</x:v>
      </x:c>
      <x:c r="S98" s="25" t="n">
        <x:f>J98*L98/1000000</x:f>
        <x:v>8.98728</x:v>
      </x:c>
      <x:c r="T98" s="25" t="n">
        <x:f>K98*M98/1000000</x:f>
        <x:v>7.30968</x:v>
      </x:c>
      <x:c r="U98" s="25" t="n">
        <x:f>SUM(S98:T98)</x:f>
        <x:v>16.29696</x:v>
      </x:c>
      <x:c r="V98" s="15" t="n">
        <x:f>N98-O98</x:f>
        <x:v>-0.5499999999999998</x:v>
      </x:c>
      <x:c r="W98" s="25" t="n">
        <x:f>V98*$B$3</x:f>
        <x:v>-27.499999999999993</x:v>
      </x:c>
      <x:c r="X98" s="25" t="n">
        <x:f>W98-U98</x:f>
        <x:v>-43.79695999999999</x:v>
      </x:c>
    </x:row>
    <x:row r="99" ht="23" customHeight="1">
      <x:c r="A99" s="21" t="str">
        <x:v>W0093</x:v>
      </x:c>
      <x:c r="B99" s="22" t="n">
        <x:v>46290</x:v>
      </x:c>
      <x:c r="C99" s="21" t="str">
        <x:v>Campaign 2</x:v>
      </x:c>
      <x:c r="D99" s="21" t="str">
        <x:v>Content</x:v>
      </x:c>
      <x:c r="E99" s="21" t="str">
        <x:v>Jordan Ellis</x:v>
      </x:c>
      <x:c r="F99" s="21" t="str">
        <x:v>CampaignChat</x:v>
      </x:c>
      <x:c r="G99" s="21" t="str">
        <x:v>Lite</x:v>
      </x:c>
      <x:c r="H99" s="21" t="str">
        <x:v>Edit landing page</x:v>
      </x:c>
      <x:c r="I99" s="23" t="n">
        <x:v>22</x:v>
      </x:c>
      <x:c r="J99" s="23" t="n">
        <x:v>511564</x:v>
      </x:c>
      <x:c r="K99" s="23" t="n">
        <x:v>160193</x:v>
      </x:c>
      <x:c r="L99" s="23" t="n">
        <x:v>10</x:v>
      </x:c>
      <x:c r="M99" s="23" t="n">
        <x:v>30</x:v>
      </x:c>
      <x:c r="N99" s="24" t="n">
        <x:v>3.73</x:v>
      </x:c>
      <x:c r="O99" s="24" t="n">
        <x:v>5.46</x:v>
      </x:c>
      <x:c r="P99" s="24" t="n">
        <x:v>1.21</x:v>
      </x:c>
      <x:c r="Q99" s="21" t="str">
        <x:v>Data problem</x:v>
      </x:c>
      <x:c r="R99" s="14" t="n">
        <x:f>J99+K99</x:f>
        <x:v>671757</x:v>
      </x:c>
      <x:c r="S99" s="25" t="n">
        <x:f>J99*L99/1000000</x:f>
        <x:v>5.11564</x:v>
      </x:c>
      <x:c r="T99" s="25" t="n">
        <x:f>K99*M99/1000000</x:f>
        <x:v>4.80579</x:v>
      </x:c>
      <x:c r="U99" s="25" t="n">
        <x:f>SUM(S99:T99)</x:f>
        <x:v>9.92143</x:v>
      </x:c>
      <x:c r="V99" s="15" t="n">
        <x:f>N99-O99</x:f>
        <x:v>-1.73</x:v>
      </x:c>
      <x:c r="W99" s="25" t="n">
        <x:f>V99*$B$3</x:f>
        <x:v>-86.5</x:v>
      </x:c>
      <x:c r="X99" s="25" t="n">
        <x:f>W99-U99</x:f>
        <x:v>-96.42143</x:v>
      </x:c>
    </x:row>
    <x:row r="100" ht="23" customHeight="1">
      <x:c r="A100" s="21" t="str">
        <x:v>W0094</x:v>
      </x:c>
      <x:c r="B100" s="22" t="n">
        <x:v>46275</x:v>
      </x:c>
      <x:c r="C100" s="21" t="str">
        <x:v>Campaign 2</x:v>
      </x:c>
      <x:c r="D100" s="21" t="str">
        <x:v>Creative</x:v>
      </x:c>
      <x:c r="E100" s="21" t="str">
        <x:v>Riley Chen</x:v>
      </x:c>
      <x:c r="F100" s="21" t="str">
        <x:v>CopyStudio</x:v>
      </x:c>
      <x:c r="G100" s="21" t="str">
        <x:v>Lite</x:v>
      </x:c>
      <x:c r="H100" s="21" t="str">
        <x:v>Develop concept brief</x:v>
      </x:c>
      <x:c r="I100" s="23" t="n">
        <x:v>26</x:v>
      </x:c>
      <x:c r="J100" s="23" t="n">
        <x:v>1018467</x:v>
      </x:c>
      <x:c r="K100" s="23" t="n">
        <x:v>167942</x:v>
      </x:c>
      <x:c r="L100" s="23" t="n">
        <x:v>10</x:v>
      </x:c>
      <x:c r="M100" s="23" t="n">
        <x:v>30</x:v>
      </x:c>
      <x:c r="N100" s="24" t="n">
        <x:v>3.92</x:v>
      </x:c>
      <x:c r="O100" s="24" t="n">
        <x:v>5.12</x:v>
      </x:c>
      <x:c r="P100" s="24" t="n">
        <x:v>1.06</x:v>
      </x:c>
      <x:c r="Q100" s="21" t="str">
        <x:v>Data problem</x:v>
      </x:c>
      <x:c r="R100" s="14" t="n">
        <x:f>J100+K100</x:f>
        <x:v>1186409</x:v>
      </x:c>
      <x:c r="S100" s="25" t="n">
        <x:f>J100*L100/1000000</x:f>
        <x:v>10.18467</x:v>
      </x:c>
      <x:c r="T100" s="25" t="n">
        <x:f>K100*M100/1000000</x:f>
        <x:v>5.03826</x:v>
      </x:c>
      <x:c r="U100" s="25" t="n">
        <x:f>SUM(S100:T100)</x:f>
        <x:v>15.222930000000002</x:v>
      </x:c>
      <x:c r="V100" s="15" t="n">
        <x:f>N100-O100</x:f>
        <x:v>-1.2000000000000002</x:v>
      </x:c>
      <x:c r="W100" s="25" t="n">
        <x:f>V100*$B$3</x:f>
        <x:v>-60.00000000000001</x:v>
      </x:c>
      <x:c r="X100" s="25" t="n">
        <x:f>W100-U100</x:f>
        <x:v>-75.22293</x:v>
      </x:c>
    </x:row>
    <x:row r="101" ht="23" customHeight="1">
      <x:c r="A101" s="21" t="str">
        <x:v>W0095</x:v>
      </x:c>
      <x:c r="B101" s="22" t="n">
        <x:v>46286</x:v>
      </x:c>
      <x:c r="C101" s="21" t="str">
        <x:v>Campaign 2</x:v>
      </x:c>
      <x:c r="D101" s="21" t="str">
        <x:v>Creative</x:v>
      </x:c>
      <x:c r="E101" s="21" t="str">
        <x:v>Taylor Brooks</x:v>
      </x:c>
      <x:c r="F101" s="21" t="str">
        <x:v>CampaignChat</x:v>
      </x:c>
      <x:c r="G101" s="21" t="str">
        <x:v>Pro</x:v>
      </x:c>
      <x:c r="H101" s="21" t="str">
        <x:v>Review creative variants</x:v>
      </x:c>
      <x:c r="I101" s="23" t="n">
        <x:v>15</x:v>
      </x:c>
      <x:c r="J101" s="23" t="n">
        <x:v>380397</x:v>
      </x:c>
      <x:c r="K101" s="23" t="n">
        <x:v>112318</x:v>
      </x:c>
      <x:c r="L101" s="23" t="n">
        <x:v>40</x:v>
      </x:c>
      <x:c r="M101" s="23" t="n">
        <x:v>100</x:v>
      </x:c>
      <x:c r="N101" s="24" t="n">
        <x:v>4.43</x:v>
      </x:c>
      <x:c r="O101" s="24" t="n">
        <x:v>6.05</x:v>
      </x:c>
      <x:c r="P101" s="24" t="n">
        <x:v>2</x:v>
      </x:c>
      <x:c r="Q101" s="21" t="str">
        <x:v>Data problem</x:v>
      </x:c>
      <x:c r="R101" s="14" t="n">
        <x:f>J101+K101</x:f>
        <x:v>492715</x:v>
      </x:c>
      <x:c r="S101" s="25" t="n">
        <x:f>J101*L101/1000000</x:f>
        <x:v>15.21588</x:v>
      </x:c>
      <x:c r="T101" s="25" t="n">
        <x:f>K101*M101/1000000</x:f>
        <x:v>11.2318</x:v>
      </x:c>
      <x:c r="U101" s="25" t="n">
        <x:f>SUM(S101:T101)</x:f>
        <x:v>26.44768</x:v>
      </x:c>
      <x:c r="V101" s="15" t="n">
        <x:f>N101-O101</x:f>
        <x:v>-1.62</x:v>
      </x:c>
      <x:c r="W101" s="25" t="n">
        <x:f>V101*$B$3</x:f>
        <x:v>-81</x:v>
      </x:c>
      <x:c r="X101" s="25" t="n">
        <x:f>W101-U101</x:f>
        <x:v>-107.44767999999999</x:v>
      </x:c>
    </x:row>
    <x:row r="102" ht="23" customHeight="1">
      <x:c r="A102" s="21" t="str">
        <x:v>W0096</x:v>
      </x:c>
      <x:c r="B102" s="22" t="n">
        <x:v>46295</x:v>
      </x:c>
      <x:c r="C102" s="21" t="str">
        <x:v>Campaign 2</x:v>
      </x:c>
      <x:c r="D102" s="21" t="str">
        <x:v>Marketing Operations</x:v>
      </x:c>
      <x:c r="E102" s="21" t="str">
        <x:v>Casey Rivera</x:v>
      </x:c>
      <x:c r="F102" s="21" t="str">
        <x:v>DataFlow</x:v>
      </x:c>
      <x:c r="G102" s="21" t="str">
        <x:v>Pro</x:v>
      </x:c>
      <x:c r="H102" s="21" t="str">
        <x:v>Prepare launch checklist</x:v>
      </x:c>
      <x:c r="I102" s="23" t="n">
        <x:v>14</x:v>
      </x:c>
      <x:c r="J102" s="23" t="n">
        <x:v>232715</x:v>
      </x:c>
      <x:c r="K102" s="23" t="n">
        <x:v>90158</x:v>
      </x:c>
      <x:c r="L102" s="23" t="n">
        <x:v>40</x:v>
      </x:c>
      <x:c r="M102" s="23" t="n">
        <x:v>100</x:v>
      </x:c>
      <x:c r="N102" s="24" t="n">
        <x:v>2.87</x:v>
      </x:c>
      <x:c r="O102" s="24" t="n">
        <x:v>4.05</x:v>
      </x:c>
      <x:c r="P102" s="24" t="n">
        <x:v>1.86</x:v>
      </x:c>
      <x:c r="Q102" s="21" t="str">
        <x:v>Unclear prompt</x:v>
      </x:c>
      <x:c r="R102" s="14" t="n">
        <x:f>J102+K102</x:f>
        <x:v>322873</x:v>
      </x:c>
      <x:c r="S102" s="25" t="n">
        <x:f>J102*L102/1000000</x:f>
        <x:v>9.3086</x:v>
      </x:c>
      <x:c r="T102" s="25" t="n">
        <x:f>K102*M102/1000000</x:f>
        <x:v>9.0158</x:v>
      </x:c>
      <x:c r="U102" s="25" t="n">
        <x:f>SUM(S102:T102)</x:f>
        <x:v>18.3244</x:v>
      </x:c>
      <x:c r="V102" s="15" t="n">
        <x:f>N102-O102</x:f>
        <x:v>-1.1799999999999997</x:v>
      </x:c>
      <x:c r="W102" s="25" t="n">
        <x:f>V102*$B$3</x:f>
        <x:v>-58.999999999999986</x:v>
      </x:c>
      <x:c r="X102" s="25" t="n">
        <x:f>W102-U102</x:f>
        <x:v>-77.32439999999998</x:v>
      </x:c>
    </x:row>
    <x:row r="103" ht="23" customHeight="1">
      <x:c r="A103" s="21" t="str">
        <x:v>W0097</x:v>
      </x:c>
      <x:c r="B103" s="22" t="n">
        <x:v>46280</x:v>
      </x:c>
      <x:c r="C103" s="21" t="str">
        <x:v>Campaign 2</x:v>
      </x:c>
      <x:c r="D103" s="21" t="str">
        <x:v>Marketing Operations</x:v>
      </x:c>
      <x:c r="E103" s="21" t="str">
        <x:v>Morgan Reed</x:v>
      </x:c>
      <x:c r="F103" s="21" t="str">
        <x:v>DataFlow</x:v>
      </x:c>
      <x:c r="G103" s="21" t="str">
        <x:v>Pro</x:v>
      </x:c>
      <x:c r="H103" s="21" t="str">
        <x:v>Build campaign plan</x:v>
      </x:c>
      <x:c r="I103" s="23" t="n">
        <x:v>23</x:v>
      </x:c>
      <x:c r="J103" s="23" t="n">
        <x:v>615432</x:v>
      </x:c>
      <x:c r="K103" s="23" t="n">
        <x:v>188923</x:v>
      </x:c>
      <x:c r="L103" s="23" t="n">
        <x:v>40</x:v>
      </x:c>
      <x:c r="M103" s="23" t="n">
        <x:v>100</x:v>
      </x:c>
      <x:c r="N103" s="24" t="n">
        <x:v>2.91</x:v>
      </x:c>
      <x:c r="O103" s="24" t="n">
        <x:v>5.32</x:v>
      </x:c>
      <x:c r="P103" s="24" t="n">
        <x:v>2.14</x:v>
      </x:c>
      <x:c r="Q103" s="21" t="str">
        <x:v>Brief changed</x:v>
      </x:c>
      <x:c r="R103" s="14" t="n">
        <x:f>J103+K103</x:f>
        <x:v>804355</x:v>
      </x:c>
      <x:c r="S103" s="25" t="n">
        <x:f>J103*L103/1000000</x:f>
        <x:v>24.61728</x:v>
      </x:c>
      <x:c r="T103" s="25" t="n">
        <x:f>K103*M103/1000000</x:f>
        <x:v>18.8923</x:v>
      </x:c>
      <x:c r="U103" s="25" t="n">
        <x:f>SUM(S103:T103)</x:f>
        <x:v>43.50958</x:v>
      </x:c>
      <x:c r="V103" s="15" t="n">
        <x:f>N103-O103</x:f>
        <x:v>-2.41</x:v>
      </x:c>
      <x:c r="W103" s="25" t="n">
        <x:f>V103*$B$3</x:f>
        <x:v>-120.5</x:v>
      </x:c>
      <x:c r="X103" s="25" t="n">
        <x:f>W103-U103</x:f>
        <x:v>-164.00958</x:v>
      </x:c>
    </x:row>
    <x:row r="104" ht="23" customHeight="1">
      <x:c r="A104" s="21" t="str">
        <x:v>W0098</x:v>
      </x:c>
      <x:c r="B104" s="22" t="n">
        <x:v>46289</x:v>
      </x:c>
      <x:c r="C104" s="21" t="str">
        <x:v>Campaign 2</x:v>
      </x:c>
      <x:c r="D104" s="21" t="str">
        <x:v>Analytics</x:v>
      </x:c>
      <x:c r="E104" s="21" t="str">
        <x:v>Quinn Parker</x:v>
      </x:c>
      <x:c r="F104" s="21" t="str">
        <x:v>InsightDesk</x:v>
      </x:c>
      <x:c r="G104" s="21" t="str">
        <x:v>Pro</x:v>
      </x:c>
      <x:c r="H104" s="21" t="str">
        <x:v>Summarize audience insights</x:v>
      </x:c>
      <x:c r="I104" s="23" t="n">
        <x:v>25</x:v>
      </x:c>
      <x:c r="J104" s="23" t="n">
        <x:v>596256</x:v>
      </x:c>
      <x:c r="K104" s="23" t="n">
        <x:v>190552</x:v>
      </x:c>
      <x:c r="L104" s="23" t="n">
        <x:v>40</x:v>
      </x:c>
      <x:c r="M104" s="23" t="n">
        <x:v>100</x:v>
      </x:c>
      <x:c r="N104" s="24" t="n">
        <x:v>4.12</x:v>
      </x:c>
      <x:c r="O104" s="24" t="n">
        <x:v>6.05</x:v>
      </x:c>
      <x:c r="P104" s="24" t="n">
        <x:v>0.83</x:v>
      </x:c>
      <x:c r="Q104" s="21" t="str">
        <x:v>None</x:v>
      </x:c>
      <x:c r="R104" s="14" t="n">
        <x:f>J104+K104</x:f>
        <x:v>786808</x:v>
      </x:c>
      <x:c r="S104" s="25" t="n">
        <x:f>J104*L104/1000000</x:f>
        <x:v>23.85024</x:v>
      </x:c>
      <x:c r="T104" s="25" t="n">
        <x:f>K104*M104/1000000</x:f>
        <x:v>19.0552</x:v>
      </x:c>
      <x:c r="U104" s="25" t="n">
        <x:f>SUM(S104:T104)</x:f>
        <x:v>42.90544</x:v>
      </x:c>
      <x:c r="V104" s="15" t="n">
        <x:f>N104-O104</x:f>
        <x:v>-1.9299999999999997</x:v>
      </x:c>
      <x:c r="W104" s="25" t="n">
        <x:f>V104*$B$3</x:f>
        <x:v>-96.49999999999999</x:v>
      </x:c>
      <x:c r="X104" s="25" t="n">
        <x:f>W104-U104</x:f>
        <x:v>-139.40544</x:v>
      </x:c>
    </x:row>
    <x:row r="105" ht="23" customHeight="1">
      <x:c r="A105" s="21" t="str">
        <x:v>W0099</x:v>
      </x:c>
      <x:c r="B105" s="22" t="n">
        <x:v>46274</x:v>
      </x:c>
      <x:c r="C105" s="21" t="str">
        <x:v>Campaign 2</x:v>
      </x:c>
      <x:c r="D105" s="21" t="str">
        <x:v>Analytics</x:v>
      </x:c>
      <x:c r="E105" s="21" t="str">
        <x:v>Jamie Patel</x:v>
      </x:c>
      <x:c r="F105" s="21" t="str">
        <x:v>InsightDesk</x:v>
      </x:c>
      <x:c r="G105" s="21" t="str">
        <x:v>Lite</x:v>
      </x:c>
      <x:c r="H105" s="21" t="str">
        <x:v>Check measurement plan</x:v>
      </x:c>
      <x:c r="I105" s="23" t="n">
        <x:v>17</x:v>
      </x:c>
      <x:c r="J105" s="23" t="n">
        <x:v>652510</x:v>
      </x:c>
      <x:c r="K105" s="23" t="n">
        <x:v>64368</x:v>
      </x:c>
      <x:c r="L105" s="23" t="n">
        <x:v>10</x:v>
      </x:c>
      <x:c r="M105" s="23" t="n">
        <x:v>30</x:v>
      </x:c>
      <x:c r="N105" s="24" t="n">
        <x:v>2.47</x:v>
      </x:c>
      <x:c r="O105" s="24" t="n">
        <x:v>3.95</x:v>
      </x:c>
      <x:c r="P105" s="24" t="n">
        <x:v>1.48</x:v>
      </x:c>
      <x:c r="Q105" s="21" t="str">
        <x:v>Brief changed</x:v>
      </x:c>
      <x:c r="R105" s="14" t="n">
        <x:f>J105+K105</x:f>
        <x:v>716878</x:v>
      </x:c>
      <x:c r="S105" s="25" t="n">
        <x:f>J105*L105/1000000</x:f>
        <x:v>6.5251</x:v>
      </x:c>
      <x:c r="T105" s="25" t="n">
        <x:f>K105*M105/1000000</x:f>
        <x:v>1.93104</x:v>
      </x:c>
      <x:c r="U105" s="25" t="n">
        <x:f>SUM(S105:T105)</x:f>
        <x:v>8.45614</x:v>
      </x:c>
      <x:c r="V105" s="15" t="n">
        <x:f>N105-O105</x:f>
        <x:v>-1.48</x:v>
      </x:c>
      <x:c r="W105" s="25" t="n">
        <x:f>V105*$B$3</x:f>
        <x:v>-74</x:v>
      </x:c>
      <x:c r="X105" s="25" t="n">
        <x:f>W105-U105</x:f>
        <x:v>-82.45614</x:v>
      </x:c>
    </x:row>
    <x:row r="106" ht="23" customHeight="1">
      <x:c r="A106" s="21" t="str">
        <x:v>W0100</x:v>
      </x:c>
      <x:c r="B106" s="22" t="n">
        <x:v>46283</x:v>
      </x:c>
      <x:c r="C106" s="21" t="str">
        <x:v>Campaign 2</x:v>
      </x:c>
      <x:c r="D106" s="21" t="str">
        <x:v>Content</x:v>
      </x:c>
      <x:c r="E106" s="21" t="str">
        <x:v>Avery Morgan</x:v>
      </x:c>
      <x:c r="F106" s="21" t="str">
        <x:v>CopyStudio</x:v>
      </x:c>
      <x:c r="G106" s="21" t="str">
        <x:v>Pro</x:v>
      </x:c>
      <x:c r="H106" s="21" t="str">
        <x:v>Write ad copy</x:v>
      </x:c>
      <x:c r="I106" s="23" t="n">
        <x:v>23</x:v>
      </x:c>
      <x:c r="J106" s="23" t="n">
        <x:v>444034</x:v>
      </x:c>
      <x:c r="K106" s="23" t="n">
        <x:v>251276</x:v>
      </x:c>
      <x:c r="L106" s="23" t="n">
        <x:v>40</x:v>
      </x:c>
      <x:c r="M106" s="23" t="n">
        <x:v>100</x:v>
      </x:c>
      <x:c r="N106" s="24" t="n">
        <x:v>4.07</x:v>
      </x:c>
      <x:c r="O106" s="24" t="n">
        <x:v>7.71</x:v>
      </x:c>
      <x:c r="P106" s="24" t="n">
        <x:v>2.55</x:v>
      </x:c>
      <x:c r="Q106" s="21" t="str">
        <x:v>Brief changed</x:v>
      </x:c>
      <x:c r="R106" s="14" t="n">
        <x:f>J106+K106</x:f>
        <x:v>695310</x:v>
      </x:c>
      <x:c r="S106" s="25" t="n">
        <x:f>J106*L106/1000000</x:f>
        <x:v>17.76136</x:v>
      </x:c>
      <x:c r="T106" s="25" t="n">
        <x:f>K106*M106/1000000</x:f>
        <x:v>25.1276</x:v>
      </x:c>
      <x:c r="U106" s="25" t="n">
        <x:f>SUM(S106:T106)</x:f>
        <x:v>42.88896</x:v>
      </x:c>
      <x:c r="V106" s="15" t="n">
        <x:f>N106-O106</x:f>
        <x:v>-3.6399999999999997</x:v>
      </x:c>
      <x:c r="W106" s="25" t="n">
        <x:f>V106*$B$3</x:f>
        <x:v>-181.99999999999997</x:v>
      </x:c>
      <x:c r="X106" s="25" t="n">
        <x:f>W106-U106</x:f>
        <x:v>-224.88895999999997</x:v>
      </x:c>
    </x:row>
    <x:row r="107" ht="23" customHeight="1">
      <x:c r="A107" s="21" t="str">
        <x:v>W0101</x:v>
      </x:c>
      <x:c r="B107" s="22" t="n">
        <x:v>46294</x:v>
      </x:c>
      <x:c r="C107" s="21" t="str">
        <x:v>Campaign 2</x:v>
      </x:c>
      <x:c r="D107" s="21" t="str">
        <x:v>Content</x:v>
      </x:c>
      <x:c r="E107" s="21" t="str">
        <x:v>Jordan Ellis</x:v>
      </x:c>
      <x:c r="F107" s="21" t="str">
        <x:v>CopyStudio</x:v>
      </x:c>
      <x:c r="G107" s="21" t="str">
        <x:v>Pro</x:v>
      </x:c>
      <x:c r="H107" s="21" t="str">
        <x:v>Draft email sequence</x:v>
      </x:c>
      <x:c r="I107" s="23" t="n">
        <x:v>23</x:v>
      </x:c>
      <x:c r="J107" s="23" t="n">
        <x:v>606251</x:v>
      </x:c>
      <x:c r="K107" s="23" t="n">
        <x:v>304185</x:v>
      </x:c>
      <x:c r="L107" s="23" t="n">
        <x:v>40</x:v>
      </x:c>
      <x:c r="M107" s="23" t="n">
        <x:v>100</x:v>
      </x:c>
      <x:c r="N107" s="24" t="n">
        <x:v>3.81</x:v>
      </x:c>
      <x:c r="O107" s="24" t="n">
        <x:v>6.97</x:v>
      </x:c>
      <x:c r="P107" s="24" t="n">
        <x:v>1.43</x:v>
      </x:c>
      <x:c r="Q107" s="21" t="str">
        <x:v>Data problem</x:v>
      </x:c>
      <x:c r="R107" s="14" t="n">
        <x:f>J107+K107</x:f>
        <x:v>910436</x:v>
      </x:c>
      <x:c r="S107" s="25" t="n">
        <x:f>J107*L107/1000000</x:f>
        <x:v>24.25004</x:v>
      </x:c>
      <x:c r="T107" s="25" t="n">
        <x:f>K107*M107/1000000</x:f>
        <x:v>30.4185</x:v>
      </x:c>
      <x:c r="U107" s="25" t="n">
        <x:f>SUM(S107:T107)</x:f>
        <x:v>54.66854</x:v>
      </x:c>
      <x:c r="V107" s="15" t="n">
        <x:f>N107-O107</x:f>
        <x:v>-3.1599999999999997</x:v>
      </x:c>
      <x:c r="W107" s="25" t="n">
        <x:f>V107*$B$3</x:f>
        <x:v>-157.99999999999997</x:v>
      </x:c>
      <x:c r="X107" s="25" t="n">
        <x:f>W107-U107</x:f>
        <x:v>-212.66853999999998</x:v>
      </x:c>
    </x:row>
    <x:row r="108" ht="23" customHeight="1">
      <x:c r="A108" s="21" t="str">
        <x:v>W0102</x:v>
      </x:c>
      <x:c r="B108" s="22" t="n">
        <x:v>46279</x:v>
      </x:c>
      <x:c r="C108" s="21" t="str">
        <x:v>Campaign 2</x:v>
      </x:c>
      <x:c r="D108" s="21" t="str">
        <x:v>Creative</x:v>
      </x:c>
      <x:c r="E108" s="21" t="str">
        <x:v>Riley Chen</x:v>
      </x:c>
      <x:c r="F108" s="21" t="str">
        <x:v>DataFlow</x:v>
      </x:c>
      <x:c r="G108" s="21" t="str">
        <x:v>Lite</x:v>
      </x:c>
      <x:c r="H108" s="21" t="str">
        <x:v>Plan visual narrative</x:v>
      </x:c>
      <x:c r="I108" s="23" t="n">
        <x:v>18</x:v>
      </x:c>
      <x:c r="J108" s="23" t="n">
        <x:v>701614</x:v>
      </x:c>
      <x:c r="K108" s="23" t="n">
        <x:v>125701</x:v>
      </x:c>
      <x:c r="L108" s="23" t="n">
        <x:v>10</x:v>
      </x:c>
      <x:c r="M108" s="23" t="n">
        <x:v>30</x:v>
      </x:c>
      <x:c r="N108" s="24" t="n">
        <x:v>2.43</x:v>
      </x:c>
      <x:c r="O108" s="24" t="n">
        <x:v>3.25</x:v>
      </x:c>
      <x:c r="P108" s="24" t="n">
        <x:v>1.48</x:v>
      </x:c>
      <x:c r="Q108" s="21" t="str">
        <x:v>Data problem</x:v>
      </x:c>
      <x:c r="R108" s="14" t="n">
        <x:f>J108+K108</x:f>
        <x:v>827315</x:v>
      </x:c>
      <x:c r="S108" s="25" t="n">
        <x:f>J108*L108/1000000</x:f>
        <x:v>7.01614</x:v>
      </x:c>
      <x:c r="T108" s="25" t="n">
        <x:f>K108*M108/1000000</x:f>
        <x:v>3.77103</x:v>
      </x:c>
      <x:c r="U108" s="25" t="n">
        <x:f>SUM(S108:T108)</x:f>
        <x:v>10.78717</x:v>
      </x:c>
      <x:c r="V108" s="15" t="n">
        <x:f>N108-O108</x:f>
        <x:v>-0.8199999999999998</x:v>
      </x:c>
      <x:c r="W108" s="25" t="n">
        <x:f>V108*$B$3</x:f>
        <x:v>-40.99999999999999</x:v>
      </x:c>
      <x:c r="X108" s="25" t="n">
        <x:f>W108-U108</x:f>
        <x:v>-51.78716999999999</x:v>
      </x:c>
    </x:row>
    <x:row r="109" ht="23" customHeight="1">
      <x:c r="A109" s="21" t="str">
        <x:v>W0103</x:v>
      </x:c>
      <x:c r="B109" s="22" t="n">
        <x:v>46288</x:v>
      </x:c>
      <x:c r="C109" s="21" t="str">
        <x:v>Campaign 2</x:v>
      </x:c>
      <x:c r="D109" s="21" t="str">
        <x:v>Creative</x:v>
      </x:c>
      <x:c r="E109" s="21" t="str">
        <x:v>Taylor Brooks</x:v>
      </x:c>
      <x:c r="F109" s="21" t="str">
        <x:v>CampaignChat</x:v>
      </x:c>
      <x:c r="G109" s="21" t="str">
        <x:v>Pro</x:v>
      </x:c>
      <x:c r="H109" s="21" t="str">
        <x:v>Develop concept brief</x:v>
      </x:c>
      <x:c r="I109" s="23" t="n">
        <x:v>22</x:v>
      </x:c>
      <x:c r="J109" s="23" t="n">
        <x:v>374138</x:v>
      </x:c>
      <x:c r="K109" s="23" t="n">
        <x:v>262168</x:v>
      </x:c>
      <x:c r="L109" s="23" t="n">
        <x:v>40</x:v>
      </x:c>
      <x:c r="M109" s="23" t="n">
        <x:v>100</x:v>
      </x:c>
      <x:c r="N109" s="24" t="n">
        <x:v>3.62</x:v>
      </x:c>
      <x:c r="O109" s="24" t="n">
        <x:v>4.13</x:v>
      </x:c>
      <x:c r="P109" s="24" t="n">
        <x:v>1.36</x:v>
      </x:c>
      <x:c r="Q109" s="21" t="str">
        <x:v>Brief changed</x:v>
      </x:c>
      <x:c r="R109" s="14" t="n">
        <x:f>J109+K109</x:f>
        <x:v>636306</x:v>
      </x:c>
      <x:c r="S109" s="25" t="n">
        <x:f>J109*L109/1000000</x:f>
        <x:v>14.96552</x:v>
      </x:c>
      <x:c r="T109" s="25" t="n">
        <x:f>K109*M109/1000000</x:f>
        <x:v>26.2168</x:v>
      </x:c>
      <x:c r="U109" s="25" t="n">
        <x:f>SUM(S109:T109)</x:f>
        <x:v>41.18232</x:v>
      </x:c>
      <x:c r="V109" s="15" t="n">
        <x:f>N109-O109</x:f>
        <x:v>-0.5099999999999998</x:v>
      </x:c>
      <x:c r="W109" s="25" t="n">
        <x:f>V109*$B$3</x:f>
        <x:v>-25.49999999999999</x:v>
      </x:c>
      <x:c r="X109" s="25" t="n">
        <x:f>W109-U109</x:f>
        <x:v>-66.68231999999999</x:v>
      </x:c>
    </x:row>
    <x:row r="110" ht="23" customHeight="1">
      <x:c r="A110" s="21" t="str">
        <x:v>W0104</x:v>
      </x:c>
      <x:c r="B110" s="22" t="n">
        <x:v>46273</x:v>
      </x:c>
      <x:c r="C110" s="21" t="str">
        <x:v>Campaign 2</x:v>
      </x:c>
      <x:c r="D110" s="21" t="str">
        <x:v>Marketing Operations</x:v>
      </x:c>
      <x:c r="E110" s="21" t="str">
        <x:v>Casey Rivera</x:v>
      </x:c>
      <x:c r="F110" s="21" t="str">
        <x:v>DataFlow</x:v>
      </x:c>
      <x:c r="G110" s="21" t="str">
        <x:v>Lite</x:v>
      </x:c>
      <x:c r="H110" s="21" t="str">
        <x:v>Clean audience data</x:v>
      </x:c>
      <x:c r="I110" s="23" t="n">
        <x:v>19</x:v>
      </x:c>
      <x:c r="J110" s="23" t="n">
        <x:v>576576</x:v>
      </x:c>
      <x:c r="K110" s="23" t="n">
        <x:v>83840</x:v>
      </x:c>
      <x:c r="L110" s="23" t="n">
        <x:v>10</x:v>
      </x:c>
      <x:c r="M110" s="23" t="n">
        <x:v>30</x:v>
      </x:c>
      <x:c r="N110" s="24" t="n">
        <x:v>2.86</x:v>
      </x:c>
      <x:c r="O110" s="24" t="n">
        <x:v>3.43</x:v>
      </x:c>
      <x:c r="P110" s="24" t="n">
        <x:v>0.81</x:v>
      </x:c>
      <x:c r="Q110" s="21" t="str">
        <x:v>Unclear prompt</x:v>
      </x:c>
      <x:c r="R110" s="14" t="n">
        <x:f>J110+K110</x:f>
        <x:v>660416</x:v>
      </x:c>
      <x:c r="S110" s="25" t="n">
        <x:f>J110*L110/1000000</x:f>
        <x:v>5.76576</x:v>
      </x:c>
      <x:c r="T110" s="25" t="n">
        <x:f>K110*M110/1000000</x:f>
        <x:v>2.5152</x:v>
      </x:c>
      <x:c r="U110" s="25" t="n">
        <x:f>SUM(S110:T110)</x:f>
        <x:v>8.28096</x:v>
      </x:c>
      <x:c r="V110" s="15" t="n">
        <x:f>N110-O110</x:f>
        <x:v>-0.5700000000000003</x:v>
      </x:c>
      <x:c r="W110" s="25" t="n">
        <x:f>V110*$B$3</x:f>
        <x:v>-28.500000000000014</x:v>
      </x:c>
      <x:c r="X110" s="25" t="n">
        <x:f>W110-U110</x:f>
        <x:v>-36.780960000000015</x:v>
      </x:c>
    </x:row>
    <x:row r="111" ht="23" customHeight="1">
      <x:c r="A111" s="21" t="str">
        <x:v>W0105</x:v>
      </x:c>
      <x:c r="B111" s="22" t="n">
        <x:v>46282</x:v>
      </x:c>
      <x:c r="C111" s="21" t="str">
        <x:v>Campaign 2</x:v>
      </x:c>
      <x:c r="D111" s="21" t="str">
        <x:v>Marketing Operations</x:v>
      </x:c>
      <x:c r="E111" s="21" t="str">
        <x:v>Morgan Reed</x:v>
      </x:c>
      <x:c r="F111" s="21" t="str">
        <x:v>CopyStudio</x:v>
      </x:c>
      <x:c r="G111" s="21" t="str">
        <x:v>Lite</x:v>
      </x:c>
      <x:c r="H111" s="21" t="str">
        <x:v>Prepare launch checklist</x:v>
      </x:c>
      <x:c r="I111" s="23" t="n">
        <x:v>23</x:v>
      </x:c>
      <x:c r="J111" s="23" t="n">
        <x:v>570536</x:v>
      </x:c>
      <x:c r="K111" s="23" t="n">
        <x:v>127572</x:v>
      </x:c>
      <x:c r="L111" s="23" t="n">
        <x:v>10</x:v>
      </x:c>
      <x:c r="M111" s="23" t="n">
        <x:v>30</x:v>
      </x:c>
      <x:c r="N111" s="24" t="n">
        <x:v>3.8</x:v>
      </x:c>
      <x:c r="O111" s="24" t="n">
        <x:v>6.17</x:v>
      </x:c>
      <x:c r="P111" s="24" t="n">
        <x:v>2.54</x:v>
      </x:c>
      <x:c r="Q111" s="21" t="str">
        <x:v>Brief changed</x:v>
      </x:c>
      <x:c r="R111" s="14" t="n">
        <x:f>J111+K111</x:f>
        <x:v>698108</x:v>
      </x:c>
      <x:c r="S111" s="25" t="n">
        <x:f>J111*L111/1000000</x:f>
        <x:v>5.70536</x:v>
      </x:c>
      <x:c r="T111" s="25" t="n">
        <x:f>K111*M111/1000000</x:f>
        <x:v>3.82716</x:v>
      </x:c>
      <x:c r="U111" s="25" t="n">
        <x:f>SUM(S111:T111)</x:f>
        <x:v>9.53252</x:v>
      </x:c>
      <x:c r="V111" s="15" t="n">
        <x:f>N111-O111</x:f>
        <x:v>-2.37</x:v>
      </x:c>
      <x:c r="W111" s="25" t="n">
        <x:f>V111*$B$3</x:f>
        <x:v>-118.5</x:v>
      </x:c>
      <x:c r="X111" s="25" t="n">
        <x:f>W111-U111</x:f>
        <x:v>-128.03252</x:v>
      </x:c>
    </x:row>
    <x:row r="112" ht="23" customHeight="1">
      <x:c r="A112" s="21" t="str">
        <x:v>W0106</x:v>
      </x:c>
      <x:c r="B112" s="22" t="n">
        <x:v>46293</x:v>
      </x:c>
      <x:c r="C112" s="21" t="str">
        <x:v>Campaign 2</x:v>
      </x:c>
      <x:c r="D112" s="21" t="str">
        <x:v>Analytics</x:v>
      </x:c>
      <x:c r="E112" s="21" t="str">
        <x:v>Quinn Parker</x:v>
      </x:c>
      <x:c r="F112" s="21" t="str">
        <x:v>InsightDesk</x:v>
      </x:c>
      <x:c r="G112" s="21" t="str">
        <x:v>Lite</x:v>
      </x:c>
      <x:c r="H112" s="21" t="str">
        <x:v>Analyze campaign results</x:v>
      </x:c>
      <x:c r="I112" s="23" t="n">
        <x:v>16</x:v>
      </x:c>
      <x:c r="J112" s="23" t="n">
        <x:v>593589</x:v>
      </x:c>
      <x:c r="K112" s="23" t="n">
        <x:v>138645</x:v>
      </x:c>
      <x:c r="L112" s="23" t="n">
        <x:v>10</x:v>
      </x:c>
      <x:c r="M112" s="23" t="n">
        <x:v>30</x:v>
      </x:c>
      <x:c r="N112" s="24" t="n">
        <x:v>2.4</x:v>
      </x:c>
      <x:c r="O112" s="24" t="n">
        <x:v>3.35</x:v>
      </x:c>
      <x:c r="P112" s="24" t="n">
        <x:v>1.34</x:v>
      </x:c>
      <x:c r="Q112" s="21" t="str">
        <x:v>Brief changed</x:v>
      </x:c>
      <x:c r="R112" s="14" t="n">
        <x:f>J112+K112</x:f>
        <x:v>732234</x:v>
      </x:c>
      <x:c r="S112" s="25" t="n">
        <x:f>J112*L112/1000000</x:f>
        <x:v>5.93589</x:v>
      </x:c>
      <x:c r="T112" s="25" t="n">
        <x:f>K112*M112/1000000</x:f>
        <x:v>4.15935</x:v>
      </x:c>
      <x:c r="U112" s="25" t="n">
        <x:f>SUM(S112:T112)</x:f>
        <x:v>10.09524</x:v>
      </x:c>
      <x:c r="V112" s="15" t="n">
        <x:f>N112-O112</x:f>
        <x:v>-0.9500000000000002</x:v>
      </x:c>
      <x:c r="W112" s="25" t="n">
        <x:f>V112*$B$3</x:f>
        <x:v>-47.50000000000001</x:v>
      </x:c>
      <x:c r="X112" s="25" t="n">
        <x:f>W112-U112</x:f>
        <x:v>-57.595240000000004</x:v>
      </x:c>
    </x:row>
    <x:row r="113" ht="23" customHeight="1">
      <x:c r="A113" s="21" t="str">
        <x:v>W0107</x:v>
      </x:c>
      <x:c r="B113" s="22" t="n">
        <x:v>46276</x:v>
      </x:c>
      <x:c r="C113" s="21" t="str">
        <x:v>Campaign 2</x:v>
      </x:c>
      <x:c r="D113" s="21" t="str">
        <x:v>Analytics</x:v>
      </x:c>
      <x:c r="E113" s="21" t="str">
        <x:v>Jamie Patel</x:v>
      </x:c>
      <x:c r="F113" s="21" t="str">
        <x:v>CampaignChat</x:v>
      </x:c>
      <x:c r="G113" s="21" t="str">
        <x:v>Lite</x:v>
      </x:c>
      <x:c r="H113" s="21" t="str">
        <x:v>Summarize audience insights</x:v>
      </x:c>
      <x:c r="I113" s="23" t="n">
        <x:v>16</x:v>
      </x:c>
      <x:c r="J113" s="23" t="n">
        <x:v>612904</x:v>
      </x:c>
      <x:c r="K113" s="23" t="n">
        <x:v>103885</x:v>
      </x:c>
      <x:c r="L113" s="23" t="n">
        <x:v>10</x:v>
      </x:c>
      <x:c r="M113" s="23" t="n">
        <x:v>30</x:v>
      </x:c>
      <x:c r="N113" s="24" t="n">
        <x:v>3.51</x:v>
      </x:c>
      <x:c r="O113" s="24" t="n">
        <x:v>5.32</x:v>
      </x:c>
      <x:c r="P113" s="24" t="n">
        <x:v>1.44</x:v>
      </x:c>
      <x:c r="Q113" s="21" t="str">
        <x:v>Unclear prompt</x:v>
      </x:c>
      <x:c r="R113" s="14" t="n">
        <x:f>J113+K113</x:f>
        <x:v>716789</x:v>
      </x:c>
      <x:c r="S113" s="25" t="n">
        <x:f>J113*L113/1000000</x:f>
        <x:v>6.12904</x:v>
      </x:c>
      <x:c r="T113" s="25" t="n">
        <x:f>K113*M113/1000000</x:f>
        <x:v>3.11655</x:v>
      </x:c>
      <x:c r="U113" s="25" t="n">
        <x:f>SUM(S113:T113)</x:f>
        <x:v>9.24559</x:v>
      </x:c>
      <x:c r="V113" s="15" t="n">
        <x:f>N113-O113</x:f>
        <x:v>-1.8100000000000005</x:v>
      </x:c>
      <x:c r="W113" s="25" t="n">
        <x:f>V113*$B$3</x:f>
        <x:v>-90.50000000000003</x:v>
      </x:c>
      <x:c r="X113" s="25" t="n">
        <x:f>W113-U113</x:f>
        <x:v>-99.74559000000002</x:v>
      </x:c>
    </x:row>
    <x:row r="114" ht="23" customHeight="1">
      <x:c r="A114" s="21" t="str">
        <x:v>W0108</x:v>
      </x:c>
      <x:c r="B114" s="22" t="n">
        <x:v>46287</x:v>
      </x:c>
      <x:c r="C114" s="21" t="str">
        <x:v>Campaign 2</x:v>
      </x:c>
      <x:c r="D114" s="21" t="str">
        <x:v>Content</x:v>
      </x:c>
      <x:c r="E114" s="21" t="str">
        <x:v>Avery Morgan</x:v>
      </x:c>
      <x:c r="F114" s="21" t="str">
        <x:v>CopyStudio</x:v>
      </x:c>
      <x:c r="G114" s="21" t="str">
        <x:v>Lite</x:v>
      </x:c>
      <x:c r="H114" s="21" t="str">
        <x:v>Edit landing page</x:v>
      </x:c>
      <x:c r="I114" s="23" t="n">
        <x:v>15</x:v>
      </x:c>
      <x:c r="J114" s="23" t="n">
        <x:v>594805</x:v>
      </x:c>
      <x:c r="K114" s="23" t="n">
        <x:v>110427</x:v>
      </x:c>
      <x:c r="L114" s="23" t="n">
        <x:v>10</x:v>
      </x:c>
      <x:c r="M114" s="23" t="n">
        <x:v>30</x:v>
      </x:c>
      <x:c r="N114" s="24" t="n">
        <x:v>2.29</x:v>
      </x:c>
      <x:c r="O114" s="24" t="n">
        <x:v>4.45</x:v>
      </x:c>
      <x:c r="P114" s="24" t="n">
        <x:v>1.94</x:v>
      </x:c>
      <x:c r="Q114" s="21" t="str">
        <x:v>Brief changed</x:v>
      </x:c>
      <x:c r="R114" s="14" t="n">
        <x:f>J114+K114</x:f>
        <x:v>705232</x:v>
      </x:c>
      <x:c r="S114" s="25" t="n">
        <x:f>J114*L114/1000000</x:f>
        <x:v>5.94805</x:v>
      </x:c>
      <x:c r="T114" s="25" t="n">
        <x:f>K114*M114/1000000</x:f>
        <x:v>3.31281</x:v>
      </x:c>
      <x:c r="U114" s="25" t="n">
        <x:f>SUM(S114:T114)</x:f>
        <x:v>9.260860000000001</x:v>
      </x:c>
      <x:c r="V114" s="15" t="n">
        <x:f>N114-O114</x:f>
        <x:v>-2.16</x:v>
      </x:c>
      <x:c r="W114" s="25" t="n">
        <x:f>V114*$B$3</x:f>
        <x:v>-108</x:v>
      </x:c>
      <x:c r="X114" s="25" t="n">
        <x:f>W114-U114</x:f>
        <x:v>-117.26086000000001</x:v>
      </x:c>
    </x:row>
    <x:row r="115" ht="23" customHeight="1">
      <x:c r="A115" s="21" t="str">
        <x:v>W0109</x:v>
      </x:c>
      <x:c r="B115" s="22" t="n">
        <x:v>46269</x:v>
      </x:c>
      <x:c r="C115" s="21" t="str">
        <x:v>Campaign 2</x:v>
      </x:c>
      <x:c r="D115" s="21" t="str">
        <x:v>Content</x:v>
      </x:c>
      <x:c r="E115" s="21" t="str">
        <x:v>Jordan Ellis</x:v>
      </x:c>
      <x:c r="F115" s="21" t="str">
        <x:v>CopyStudio</x:v>
      </x:c>
      <x:c r="G115" s="21" t="str">
        <x:v>Pro</x:v>
      </x:c>
      <x:c r="H115" s="21" t="str">
        <x:v>Write ad copy</x:v>
      </x:c>
      <x:c r="I115" s="23" t="n">
        <x:v>19</x:v>
      </x:c>
      <x:c r="J115" s="23" t="n">
        <x:v>523735</x:v>
      </x:c>
      <x:c r="K115" s="23" t="n">
        <x:v>148777</x:v>
      </x:c>
      <x:c r="L115" s="23" t="n">
        <x:v>40</x:v>
      </x:c>
      <x:c r="M115" s="23" t="n">
        <x:v>100</x:v>
      </x:c>
      <x:c r="N115" s="24" t="n">
        <x:v>2.66</x:v>
      </x:c>
      <x:c r="O115" s="24" t="n">
        <x:v>4.6</x:v>
      </x:c>
      <x:c r="P115" s="24" t="n">
        <x:v>1.9</x:v>
      </x:c>
      <x:c r="Q115" s="21" t="str">
        <x:v>Unclear prompt</x:v>
      </x:c>
      <x:c r="R115" s="14" t="n">
        <x:f>J115+K115</x:f>
        <x:v>672512</x:v>
      </x:c>
      <x:c r="S115" s="25" t="n">
        <x:f>J115*L115/1000000</x:f>
        <x:v>20.9494</x:v>
      </x:c>
      <x:c r="T115" s="25" t="n">
        <x:f>K115*M115/1000000</x:f>
        <x:v>14.8777</x:v>
      </x:c>
      <x:c r="U115" s="25" t="n">
        <x:f>SUM(S115:T115)</x:f>
        <x:v>35.8271</x:v>
      </x:c>
      <x:c r="V115" s="15" t="n">
        <x:f>N115-O115</x:f>
        <x:v>-1.9399999999999995</x:v>
      </x:c>
      <x:c r="W115" s="25" t="n">
        <x:f>V115*$B$3</x:f>
        <x:v>-96.99999999999997</x:v>
      </x:c>
      <x:c r="X115" s="25" t="n">
        <x:f>W115-U115</x:f>
        <x:v>-132.82709999999997</x:v>
      </x:c>
    </x:row>
    <x:row r="116" ht="23" customHeight="1">
      <x:c r="A116" s="21" t="str">
        <x:v>W0110</x:v>
      </x:c>
      <x:c r="B116" s="22" t="n">
        <x:v>46281</x:v>
      </x:c>
      <x:c r="C116" s="21" t="str">
        <x:v>Campaign 2</x:v>
      </x:c>
      <x:c r="D116" s="21" t="str">
        <x:v>Creative</x:v>
      </x:c>
      <x:c r="E116" s="21" t="str">
        <x:v>Riley Chen</x:v>
      </x:c>
      <x:c r="F116" s="21" t="str">
        <x:v>CampaignChat</x:v>
      </x:c>
      <x:c r="G116" s="21" t="str">
        <x:v>Lite</x:v>
      </x:c>
      <x:c r="H116" s="21" t="str">
        <x:v>Review creative variants</x:v>
      </x:c>
      <x:c r="I116" s="23" t="n">
        <x:v>21</x:v>
      </x:c>
      <x:c r="J116" s="23" t="n">
        <x:v>547961</x:v>
      </x:c>
      <x:c r="K116" s="23" t="n">
        <x:v>161336</x:v>
      </x:c>
      <x:c r="L116" s="23" t="n">
        <x:v>10</x:v>
      </x:c>
      <x:c r="M116" s="23" t="n">
        <x:v>30</x:v>
      </x:c>
      <x:c r="N116" s="24" t="n">
        <x:v>2.81</x:v>
      </x:c>
      <x:c r="O116" s="24" t="n">
        <x:v>3.85</x:v>
      </x:c>
      <x:c r="P116" s="24" t="n">
        <x:v>1.55</x:v>
      </x:c>
      <x:c r="Q116" s="21" t="str">
        <x:v>Brief changed</x:v>
      </x:c>
      <x:c r="R116" s="14" t="n">
        <x:f>J116+K116</x:f>
        <x:v>709297</x:v>
      </x:c>
      <x:c r="S116" s="25" t="n">
        <x:f>J116*L116/1000000</x:f>
        <x:v>5.47961</x:v>
      </x:c>
      <x:c r="T116" s="25" t="n">
        <x:f>K116*M116/1000000</x:f>
        <x:v>4.84008</x:v>
      </x:c>
      <x:c r="U116" s="25" t="n">
        <x:f>SUM(S116:T116)</x:f>
        <x:v>10.319690000000001</x:v>
      </x:c>
      <x:c r="V116" s="15" t="n">
        <x:f>N116-O116</x:f>
        <x:v>-1.04</x:v>
      </x:c>
      <x:c r="W116" s="25" t="n">
        <x:f>V116*$B$3</x:f>
        <x:v>-52</x:v>
      </x:c>
      <x:c r="X116" s="25" t="n">
        <x:f>W116-U116</x:f>
        <x:v>-62.31969</x:v>
      </x:c>
    </x:row>
    <x:row r="117" ht="23" customHeight="1">
      <x:c r="A117" s="21" t="str">
        <x:v>W0111</x:v>
      </x:c>
      <x:c r="B117" s="22" t="n">
        <x:v>46290</x:v>
      </x:c>
      <x:c r="C117" s="21" t="str">
        <x:v>Campaign 2</x:v>
      </x:c>
      <x:c r="D117" s="21" t="str">
        <x:v>Creative</x:v>
      </x:c>
      <x:c r="E117" s="21" t="str">
        <x:v>Taylor Brooks</x:v>
      </x:c>
      <x:c r="F117" s="21" t="str">
        <x:v>CampaignChat</x:v>
      </x:c>
      <x:c r="G117" s="21" t="str">
        <x:v>Lite</x:v>
      </x:c>
      <x:c r="H117" s="21" t="str">
        <x:v>Plan visual narrative</x:v>
      </x:c>
      <x:c r="I117" s="23" t="n">
        <x:v>25</x:v>
      </x:c>
      <x:c r="J117" s="23" t="n">
        <x:v>953118</x:v>
      </x:c>
      <x:c r="K117" s="23" t="n">
        <x:v>144608</x:v>
      </x:c>
      <x:c r="L117" s="23" t="n">
        <x:v>10</x:v>
      </x:c>
      <x:c r="M117" s="23" t="n">
        <x:v>30</x:v>
      </x:c>
      <x:c r="N117" s="24" t="n">
        <x:v>2.98</x:v>
      </x:c>
      <x:c r="O117" s="24" t="n">
        <x:v>3.51</x:v>
      </x:c>
      <x:c r="P117" s="24" t="n">
        <x:v>0.95</x:v>
      </x:c>
      <x:c r="Q117" s="21" t="str">
        <x:v>Brief changed</x:v>
      </x:c>
      <x:c r="R117" s="14" t="n">
        <x:f>J117+K117</x:f>
        <x:v>1097726</x:v>
      </x:c>
      <x:c r="S117" s="25" t="n">
        <x:f>J117*L117/1000000</x:f>
        <x:v>9.53118</x:v>
      </x:c>
      <x:c r="T117" s="25" t="n">
        <x:f>K117*M117/1000000</x:f>
        <x:v>4.33824</x:v>
      </x:c>
      <x:c r="U117" s="25" t="n">
        <x:f>SUM(S117:T117)</x:f>
        <x:v>13.869420000000002</x:v>
      </x:c>
      <x:c r="V117" s="15" t="n">
        <x:f>N117-O117</x:f>
        <x:v>-0.5299999999999998</x:v>
      </x:c>
      <x:c r="W117" s="25" t="n">
        <x:f>V117*$B$3</x:f>
        <x:v>-26.49999999999999</x:v>
      </x:c>
      <x:c r="X117" s="25" t="n">
        <x:f>W117-U117</x:f>
        <x:v>-40.36941999999999</x:v>
      </x:c>
    </x:row>
    <x:row r="118" ht="23" customHeight="1">
      <x:c r="A118" s="21" t="str">
        <x:v>W0112</x:v>
      </x:c>
      <x:c r="B118" s="22" t="n">
        <x:v>46275</x:v>
      </x:c>
      <x:c r="C118" s="21" t="str">
        <x:v>Campaign 2</x:v>
      </x:c>
      <x:c r="D118" s="21" t="str">
        <x:v>Marketing Operations</x:v>
      </x:c>
      <x:c r="E118" s="21" t="str">
        <x:v>Casey Rivera</x:v>
      </x:c>
      <x:c r="F118" s="21" t="str">
        <x:v>DataFlow</x:v>
      </x:c>
      <x:c r="G118" s="21" t="str">
        <x:v>Lite</x:v>
      </x:c>
      <x:c r="H118" s="21" t="str">
        <x:v>Build campaign plan</x:v>
      </x:c>
      <x:c r="I118" s="23" t="n">
        <x:v>25</x:v>
      </x:c>
      <x:c r="J118" s="23" t="n">
        <x:v>795470</x:v>
      </x:c>
      <x:c r="K118" s="23" t="n">
        <x:v>213965</x:v>
      </x:c>
      <x:c r="L118" s="23" t="n">
        <x:v>10</x:v>
      </x:c>
      <x:c r="M118" s="23" t="n">
        <x:v>30</x:v>
      </x:c>
      <x:c r="N118" s="24" t="n">
        <x:v>4.36</x:v>
      </x:c>
      <x:c r="O118" s="24" t="n">
        <x:v>5.69</x:v>
      </x:c>
      <x:c r="P118" s="24" t="n">
        <x:v>1.57</x:v>
      </x:c>
      <x:c r="Q118" s="21" t="str">
        <x:v>Brief changed</x:v>
      </x:c>
      <x:c r="R118" s="14" t="n">
        <x:f>J118+K118</x:f>
        <x:v>1009435</x:v>
      </x:c>
      <x:c r="S118" s="25" t="n">
        <x:f>J118*L118/1000000</x:f>
        <x:v>7.9547</x:v>
      </x:c>
      <x:c r="T118" s="25" t="n">
        <x:f>K118*M118/1000000</x:f>
        <x:v>6.41895</x:v>
      </x:c>
      <x:c r="U118" s="25" t="n">
        <x:f>SUM(S118:T118)</x:f>
        <x:v>14.37365</x:v>
      </x:c>
      <x:c r="V118" s="15" t="n">
        <x:f>N118-O118</x:f>
        <x:v>-1.33</x:v>
      </x:c>
      <x:c r="W118" s="25" t="n">
        <x:f>V118*$B$3</x:f>
        <x:v>-66.5</x:v>
      </x:c>
      <x:c r="X118" s="25" t="n">
        <x:f>W118-U118</x:f>
        <x:v>-80.87365</x:v>
      </x:c>
    </x:row>
    <x:row r="119" ht="23" customHeight="1">
      <x:c r="A119" s="21" t="str">
        <x:v>W0113</x:v>
      </x:c>
      <x:c r="B119" s="22" t="n">
        <x:v>46286</x:v>
      </x:c>
      <x:c r="C119" s="21" t="str">
        <x:v>Campaign 2</x:v>
      </x:c>
      <x:c r="D119" s="21" t="str">
        <x:v>Marketing Operations</x:v>
      </x:c>
      <x:c r="E119" s="21" t="str">
        <x:v>Morgan Reed</x:v>
      </x:c>
      <x:c r="F119" s="21" t="str">
        <x:v>DataFlow</x:v>
      </x:c>
      <x:c r="G119" s="21" t="str">
        <x:v>Pro</x:v>
      </x:c>
      <x:c r="H119" s="21" t="str">
        <x:v>Clean audience data</x:v>
      </x:c>
      <x:c r="I119" s="23" t="n">
        <x:v>19</x:v>
      </x:c>
      <x:c r="J119" s="23" t="n">
        <x:v>365125</x:v>
      </x:c>
      <x:c r="K119" s="23" t="n">
        <x:v>179806</x:v>
      </x:c>
      <x:c r="L119" s="23" t="n">
        <x:v>40</x:v>
      </x:c>
      <x:c r="M119" s="23" t="n">
        <x:v>100</x:v>
      </x:c>
      <x:c r="N119" s="24" t="n">
        <x:v>2.52</x:v>
      </x:c>
      <x:c r="O119" s="24" t="n">
        <x:v>3.3</x:v>
      </x:c>
      <x:c r="P119" s="24" t="n">
        <x:v>1.49</x:v>
      </x:c>
      <x:c r="Q119" s="21" t="str">
        <x:v>Data problem</x:v>
      </x:c>
      <x:c r="R119" s="14" t="n">
        <x:f>J119+K119</x:f>
        <x:v>544931</x:v>
      </x:c>
      <x:c r="S119" s="25" t="n">
        <x:f>J119*L119/1000000</x:f>
        <x:v>14.605</x:v>
      </x:c>
      <x:c r="T119" s="25" t="n">
        <x:f>K119*M119/1000000</x:f>
        <x:v>17.9806</x:v>
      </x:c>
      <x:c r="U119" s="25" t="n">
        <x:f>SUM(S119:T119)</x:f>
        <x:v>32.5856</x:v>
      </x:c>
      <x:c r="V119" s="15" t="n">
        <x:f>N119-O119</x:f>
        <x:v>-0.7799999999999998</x:v>
      </x:c>
      <x:c r="W119" s="25" t="n">
        <x:f>V119*$B$3</x:f>
        <x:v>-38.99999999999999</x:v>
      </x:c>
      <x:c r="X119" s="25" t="n">
        <x:f>W119-U119</x:f>
        <x:v>-71.5856</x:v>
      </x:c>
    </x:row>
    <x:row r="120" ht="23" customHeight="1">
      <x:c r="A120" s="21" t="str">
        <x:v>W0114</x:v>
      </x:c>
      <x:c r="B120" s="22" t="n">
        <x:v>46295</x:v>
      </x:c>
      <x:c r="C120" s="21" t="str">
        <x:v>Campaign 2</x:v>
      </x:c>
      <x:c r="D120" s="21" t="str">
        <x:v>Analytics</x:v>
      </x:c>
      <x:c r="E120" s="21" t="str">
        <x:v>Quinn Parker</x:v>
      </x:c>
      <x:c r="F120" s="21" t="str">
        <x:v>InsightDesk</x:v>
      </x:c>
      <x:c r="G120" s="21" t="str">
        <x:v>Pro</x:v>
      </x:c>
      <x:c r="H120" s="21" t="str">
        <x:v>Check measurement plan</x:v>
      </x:c>
      <x:c r="I120" s="23" t="n">
        <x:v>23</x:v>
      </x:c>
      <x:c r="J120" s="23" t="n">
        <x:v>266151</x:v>
      </x:c>
      <x:c r="K120" s="23" t="n">
        <x:v>252797</x:v>
      </x:c>
      <x:c r="L120" s="23" t="n">
        <x:v>40</x:v>
      </x:c>
      <x:c r="M120" s="23" t="n">
        <x:v>100</x:v>
      </x:c>
      <x:c r="N120" s="24" t="n">
        <x:v>2.82</x:v>
      </x:c>
      <x:c r="O120" s="24" t="n">
        <x:v>3.69</x:v>
      </x:c>
      <x:c r="P120" s="24" t="n">
        <x:v>1.77</x:v>
      </x:c>
      <x:c r="Q120" s="21" t="str">
        <x:v>Brief changed</x:v>
      </x:c>
      <x:c r="R120" s="14" t="n">
        <x:f>J120+K120</x:f>
        <x:v>518948</x:v>
      </x:c>
      <x:c r="S120" s="25" t="n">
        <x:f>J120*L120/1000000</x:f>
        <x:v>10.64604</x:v>
      </x:c>
      <x:c r="T120" s="25" t="n">
        <x:f>K120*M120/1000000</x:f>
        <x:v>25.2797</x:v>
      </x:c>
      <x:c r="U120" s="25" t="n">
        <x:f>SUM(S120:T120)</x:f>
        <x:v>35.92574</x:v>
      </x:c>
      <x:c r="V120" s="15" t="n">
        <x:f>N120-O120</x:f>
        <x:v>-0.8700000000000001</x:v>
      </x:c>
      <x:c r="W120" s="25" t="n">
        <x:f>V120*$B$3</x:f>
        <x:v>-43.50000000000001</x:v>
      </x:c>
      <x:c r="X120" s="25" t="n">
        <x:f>W120-U120</x:f>
        <x:v>-79.42574</x:v>
      </x:c>
    </x:row>
    <x:row r="121" ht="23" customHeight="1">
      <x:c r="A121" s="21" t="str">
        <x:v>W0115</x:v>
      </x:c>
      <x:c r="B121" s="22" t="n">
        <x:v>46280</x:v>
      </x:c>
      <x:c r="C121" s="21" t="str">
        <x:v>Campaign 2</x:v>
      </x:c>
      <x:c r="D121" s="21" t="str">
        <x:v>Analytics</x:v>
      </x:c>
      <x:c r="E121" s="21" t="str">
        <x:v>Jamie Patel</x:v>
      </x:c>
      <x:c r="F121" s="21" t="str">
        <x:v>InsightDesk</x:v>
      </x:c>
      <x:c r="G121" s="21" t="str">
        <x:v>Pro</x:v>
      </x:c>
      <x:c r="H121" s="21" t="str">
        <x:v>Analyze campaign results</x:v>
      </x:c>
      <x:c r="I121" s="23" t="n">
        <x:v>18</x:v>
      </x:c>
      <x:c r="J121" s="23" t="n">
        <x:v>277493</x:v>
      </x:c>
      <x:c r="K121" s="23" t="n">
        <x:v>186005</x:v>
      </x:c>
      <x:c r="L121" s="23" t="n">
        <x:v>40</x:v>
      </x:c>
      <x:c r="M121" s="23" t="n">
        <x:v>100</x:v>
      </x:c>
      <x:c r="N121" s="24" t="n">
        <x:v>3.38</x:v>
      </x:c>
      <x:c r="O121" s="24" t="n">
        <x:v>4.5</x:v>
      </x:c>
      <x:c r="P121" s="24" t="n">
        <x:v>1.64</x:v>
      </x:c>
      <x:c r="Q121" s="21" t="str">
        <x:v>Brief changed</x:v>
      </x:c>
      <x:c r="R121" s="14" t="n">
        <x:f>J121+K121</x:f>
        <x:v>463498</x:v>
      </x:c>
      <x:c r="S121" s="25" t="n">
        <x:f>J121*L121/1000000</x:f>
        <x:v>11.09972</x:v>
      </x:c>
      <x:c r="T121" s="25" t="n">
        <x:f>K121*M121/1000000</x:f>
        <x:v>18.6005</x:v>
      </x:c>
      <x:c r="U121" s="25" t="n">
        <x:f>SUM(S121:T121)</x:f>
        <x:v>29.70022</x:v>
      </x:c>
      <x:c r="V121" s="15" t="n">
        <x:f>N121-O121</x:f>
        <x:v>-1.12</x:v>
      </x:c>
      <x:c r="W121" s="25" t="n">
        <x:f>V121*$B$3</x:f>
        <x:v>-56.00000000000001</x:v>
      </x:c>
      <x:c r="X121" s="25" t="n">
        <x:f>W121-U121</x:f>
        <x:v>-85.70022</x:v>
      </x:c>
    </x:row>
    <x:row r="122" ht="23" customHeight="1">
      <x:c r="A122" s="21" t="str">
        <x:v>W0116</x:v>
      </x:c>
      <x:c r="B122" s="22" t="n">
        <x:v>46289</x:v>
      </x:c>
      <x:c r="C122" s="21" t="str">
        <x:v>Campaign 2</x:v>
      </x:c>
      <x:c r="D122" s="21" t="str">
        <x:v>Content</x:v>
      </x:c>
      <x:c r="E122" s="21" t="str">
        <x:v>Avery Morgan</x:v>
      </x:c>
      <x:c r="F122" s="21" t="str">
        <x:v>CopyStudio</x:v>
      </x:c>
      <x:c r="G122" s="21" t="str">
        <x:v>Pro</x:v>
      </x:c>
      <x:c r="H122" s="21" t="str">
        <x:v>Draft email sequence</x:v>
      </x:c>
      <x:c r="I122" s="23" t="n">
        <x:v>27</x:v>
      </x:c>
      <x:c r="J122" s="23" t="n">
        <x:v>422573</x:v>
      </x:c>
      <x:c r="K122" s="23" t="n">
        <x:v>263824</x:v>
      </x:c>
      <x:c r="L122" s="23" t="n">
        <x:v>40</x:v>
      </x:c>
      <x:c r="M122" s="23" t="n">
        <x:v>100</x:v>
      </x:c>
      <x:c r="N122" s="24" t="n">
        <x:v>2.61</x:v>
      </x:c>
      <x:c r="O122" s="24" t="n">
        <x:v>3.61</x:v>
      </x:c>
      <x:c r="P122" s="24" t="n">
        <x:v>0.89</x:v>
      </x:c>
      <x:c r="Q122" s="21" t="str">
        <x:v>Brief changed</x:v>
      </x:c>
      <x:c r="R122" s="14" t="n">
        <x:f>J122+K122</x:f>
        <x:v>686397</x:v>
      </x:c>
      <x:c r="S122" s="25" t="n">
        <x:f>J122*L122/1000000</x:f>
        <x:v>16.90292</x:v>
      </x:c>
      <x:c r="T122" s="25" t="n">
        <x:f>K122*M122/1000000</x:f>
        <x:v>26.3824</x:v>
      </x:c>
      <x:c r="U122" s="25" t="n">
        <x:f>SUM(S122:T122)</x:f>
        <x:v>43.28532</x:v>
      </x:c>
      <x:c r="V122" s="15" t="n">
        <x:f>N122-O122</x:f>
        <x:v>-1</x:v>
      </x:c>
      <x:c r="W122" s="25" t="n">
        <x:f>V122*$B$3</x:f>
        <x:v>-50</x:v>
      </x:c>
      <x:c r="X122" s="25" t="n">
        <x:f>W122-U122</x:f>
        <x:v>-93.28532</x:v>
      </x:c>
    </x:row>
    <x:row r="123" ht="23" customHeight="1">
      <x:c r="A123" s="21" t="str">
        <x:v>W0117</x:v>
      </x:c>
      <x:c r="B123" s="22" t="n">
        <x:v>46274</x:v>
      </x:c>
      <x:c r="C123" s="21" t="str">
        <x:v>Campaign 2</x:v>
      </x:c>
      <x:c r="D123" s="21" t="str">
        <x:v>Content</x:v>
      </x:c>
      <x:c r="E123" s="21" t="str">
        <x:v>Jordan Ellis</x:v>
      </x:c>
      <x:c r="F123" s="21" t="str">
        <x:v>CopyStudio</x:v>
      </x:c>
      <x:c r="G123" s="21" t="str">
        <x:v>Lite</x:v>
      </x:c>
      <x:c r="H123" s="21" t="str">
        <x:v>Edit landing page</x:v>
      </x:c>
      <x:c r="I123" s="23" t="n">
        <x:v>17</x:v>
      </x:c>
      <x:c r="J123" s="23" t="n">
        <x:v>535782</x:v>
      </x:c>
      <x:c r="K123" s="23" t="n">
        <x:v>65111</x:v>
      </x:c>
      <x:c r="L123" s="23" t="n">
        <x:v>10</x:v>
      </x:c>
      <x:c r="M123" s="23" t="n">
        <x:v>30</x:v>
      </x:c>
      <x:c r="N123" s="24" t="n">
        <x:v>4.29</x:v>
      </x:c>
      <x:c r="O123" s="24" t="n">
        <x:v>7.91</x:v>
      </x:c>
      <x:c r="P123" s="24" t="n">
        <x:v>3.28</x:v>
      </x:c>
      <x:c r="Q123" s="21" t="str">
        <x:v>Brief changed</x:v>
      </x:c>
      <x:c r="R123" s="14" t="n">
        <x:f>J123+K123</x:f>
        <x:v>600893</x:v>
      </x:c>
      <x:c r="S123" s="25" t="n">
        <x:f>J123*L123/1000000</x:f>
        <x:v>5.35782</x:v>
      </x:c>
      <x:c r="T123" s="25" t="n">
        <x:f>K123*M123/1000000</x:f>
        <x:v>1.95333</x:v>
      </x:c>
      <x:c r="U123" s="25" t="n">
        <x:f>SUM(S123:T123)</x:f>
        <x:v>7.3111500000000005</x:v>
      </x:c>
      <x:c r="V123" s="15" t="n">
        <x:f>N123-O123</x:f>
        <x:v>-3.62</x:v>
      </x:c>
      <x:c r="W123" s="25" t="n">
        <x:f>V123*$B$3</x:f>
        <x:v>-181</x:v>
      </x:c>
      <x:c r="X123" s="25" t="n">
        <x:f>W123-U123</x:f>
        <x:v>-188.31115</x:v>
      </x:c>
    </x:row>
    <x:row r="124" ht="23" customHeight="1">
      <x:c r="A124" s="21" t="str">
        <x:v>W0118</x:v>
      </x:c>
      <x:c r="B124" s="22" t="n">
        <x:v>46283</x:v>
      </x:c>
      <x:c r="C124" s="21" t="str">
        <x:v>Campaign 2</x:v>
      </x:c>
      <x:c r="D124" s="21" t="str">
        <x:v>Creative</x:v>
      </x:c>
      <x:c r="E124" s="21" t="str">
        <x:v>Riley Chen</x:v>
      </x:c>
      <x:c r="F124" s="21" t="str">
        <x:v>CampaignChat</x:v>
      </x:c>
      <x:c r="G124" s="21" t="str">
        <x:v>Lite</x:v>
      </x:c>
      <x:c r="H124" s="21" t="str">
        <x:v>Develop concept brief</x:v>
      </x:c>
      <x:c r="I124" s="23" t="n">
        <x:v>15</x:v>
      </x:c>
      <x:c r="J124" s="23" t="n">
        <x:v>293288</x:v>
      </x:c>
      <x:c r="K124" s="23" t="n">
        <x:v>113094</x:v>
      </x:c>
      <x:c r="L124" s="23" t="n">
        <x:v>10</x:v>
      </x:c>
      <x:c r="M124" s="23" t="n">
        <x:v>30</x:v>
      </x:c>
      <x:c r="N124" s="24" t="n">
        <x:v>2.3</x:v>
      </x:c>
      <x:c r="O124" s="24" t="n">
        <x:v>2.79</x:v>
      </x:c>
      <x:c r="P124" s="24" t="n">
        <x:v>0.39</x:v>
      </x:c>
      <x:c r="Q124" s="21" t="str">
        <x:v>None</x:v>
      </x:c>
      <x:c r="R124" s="14" t="n">
        <x:f>J124+K124</x:f>
        <x:v>406382</x:v>
      </x:c>
      <x:c r="S124" s="25" t="n">
        <x:f>J124*L124/1000000</x:f>
        <x:v>2.93288</x:v>
      </x:c>
      <x:c r="T124" s="25" t="n">
        <x:f>K124*M124/1000000</x:f>
        <x:v>3.39282</x:v>
      </x:c>
      <x:c r="U124" s="25" t="n">
        <x:f>SUM(S124:T124)</x:f>
        <x:v>6.325699999999999</x:v>
      </x:c>
      <x:c r="V124" s="15" t="n">
        <x:f>N124-O124</x:f>
        <x:v>-0.4900000000000002</x:v>
      </x:c>
      <x:c r="W124" s="25" t="n">
        <x:f>V124*$B$3</x:f>
        <x:v>-24.50000000000001</x:v>
      </x:c>
      <x:c r="X124" s="25" t="n">
        <x:f>W124-U124</x:f>
        <x:v>-30.825700000000012</x:v>
      </x:c>
    </x:row>
    <x:row r="125" ht="23" customHeight="1">
      <x:c r="A125" s="21" t="str">
        <x:v>W0119</x:v>
      </x:c>
      <x:c r="B125" s="22" t="n">
        <x:v>46294</x:v>
      </x:c>
      <x:c r="C125" s="21" t="str">
        <x:v>Campaign 2</x:v>
      </x:c>
      <x:c r="D125" s="21" t="str">
        <x:v>Creative</x:v>
      </x:c>
      <x:c r="E125" s="21" t="str">
        <x:v>Taylor Brooks</x:v>
      </x:c>
      <x:c r="F125" s="21" t="str">
        <x:v>CampaignChat</x:v>
      </x:c>
      <x:c r="G125" s="21" t="str">
        <x:v>Pro</x:v>
      </x:c>
      <x:c r="H125" s="21" t="str">
        <x:v>Review creative variants</x:v>
      </x:c>
      <x:c r="I125" s="23" t="n">
        <x:v>24</x:v>
      </x:c>
      <x:c r="J125" s="23" t="n">
        <x:v>487622</x:v>
      </x:c>
      <x:c r="K125" s="23" t="n">
        <x:v>347989</x:v>
      </x:c>
      <x:c r="L125" s="23" t="n">
        <x:v>40</x:v>
      </x:c>
      <x:c r="M125" s="23" t="n">
        <x:v>100</x:v>
      </x:c>
      <x:c r="N125" s="24" t="n">
        <x:v>3.51</x:v>
      </x:c>
      <x:c r="O125" s="24" t="n">
        <x:v>4.64</x:v>
      </x:c>
      <x:c r="P125" s="24" t="n">
        <x:v>1.07</x:v>
      </x:c>
      <x:c r="Q125" s="21" t="str">
        <x:v>None</x:v>
      </x:c>
      <x:c r="R125" s="14" t="n">
        <x:f>J125+K125</x:f>
        <x:v>835611</x:v>
      </x:c>
      <x:c r="S125" s="25" t="n">
        <x:f>J125*L125/1000000</x:f>
        <x:v>19.50488</x:v>
      </x:c>
      <x:c r="T125" s="25" t="n">
        <x:f>K125*M125/1000000</x:f>
        <x:v>34.7989</x:v>
      </x:c>
      <x:c r="U125" s="25" t="n">
        <x:f>SUM(S125:T125)</x:f>
        <x:v>54.30378</x:v>
      </x:c>
      <x:c r="V125" s="15" t="n">
        <x:f>N125-O125</x:f>
        <x:v>-1.13</x:v>
      </x:c>
      <x:c r="W125" s="25" t="n">
        <x:f>V125*$B$3</x:f>
        <x:v>-56.49999999999999</x:v>
      </x:c>
      <x:c r="X125" s="25" t="n">
        <x:f>W125-U125</x:f>
        <x:v>-110.80377999999999</x:v>
      </x:c>
    </x:row>
    <x:row r="126" ht="23" customHeight="1">
      <x:c r="A126" s="21" t="str">
        <x:v>W0120</x:v>
      </x:c>
      <x:c r="B126" s="22" t="n">
        <x:v>46279</x:v>
      </x:c>
      <x:c r="C126" s="21" t="str">
        <x:v>Campaign 2</x:v>
      </x:c>
      <x:c r="D126" s="21" t="str">
        <x:v>Marketing Operations</x:v>
      </x:c>
      <x:c r="E126" s="21" t="str">
        <x:v>Casey Rivera</x:v>
      </x:c>
      <x:c r="F126" s="21" t="str">
        <x:v>DataFlow</x:v>
      </x:c>
      <x:c r="G126" s="21" t="str">
        <x:v>Pro</x:v>
      </x:c>
      <x:c r="H126" s="21" t="str">
        <x:v>Prepare launch checklist</x:v>
      </x:c>
      <x:c r="I126" s="23" t="n">
        <x:v>27</x:v>
      </x:c>
      <x:c r="J126" s="23" t="n">
        <x:v>496369</x:v>
      </x:c>
      <x:c r="K126" s="23" t="n">
        <x:v>385435</x:v>
      </x:c>
      <x:c r="L126" s="23" t="n">
        <x:v>40</x:v>
      </x:c>
      <x:c r="M126" s="23" t="n">
        <x:v>100</x:v>
      </x:c>
      <x:c r="N126" s="24" t="n">
        <x:v>4.2</x:v>
      </x:c>
      <x:c r="O126" s="24" t="n">
        <x:v>7.67</x:v>
      </x:c>
      <x:c r="P126" s="24" t="n">
        <x:v>2.04</x:v>
      </x:c>
      <x:c r="Q126" s="21" t="str">
        <x:v>Data problem</x:v>
      </x:c>
      <x:c r="R126" s="14" t="n">
        <x:f>J126+K126</x:f>
        <x:v>881804</x:v>
      </x:c>
      <x:c r="S126" s="25" t="n">
        <x:f>J126*L126/1000000</x:f>
        <x:v>19.85476</x:v>
      </x:c>
      <x:c r="T126" s="25" t="n">
        <x:f>K126*M126/1000000</x:f>
        <x:v>38.5435</x:v>
      </x:c>
      <x:c r="U126" s="25" t="n">
        <x:f>SUM(S126:T126)</x:f>
        <x:v>58.39826</x:v>
      </x:c>
      <x:c r="V126" s="15" t="n">
        <x:f>N126-O126</x:f>
        <x:v>-3.4699999999999998</x:v>
      </x:c>
      <x:c r="W126" s="25" t="n">
        <x:f>V126*$B$3</x:f>
        <x:v>-173.5</x:v>
      </x:c>
      <x:c r="X126" s="25" t="n">
        <x:f>W126-U126</x:f>
        <x:v>-231.89826</x:v>
      </x:c>
    </x:row>
  </x:sheetData>
  <x:conditionalFormatting sqref="V7:X126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58e113ab2f46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1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0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9" customHeight="1">
      <x:c r="A2" s="17" t="str">
        <x:v>Original Quick Challenge records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3" customHeight="1">
      <x:c r="A3" s="18" t="str">
        <x:v>Source: https://github.com/GlassHouse97/AI-Cost-Efficiency-Portfolio-Project/blob/main/DATA/TRACKS/quick-challenge/mru_quick_challenge.csv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3" customHeight="1">
      <x:c r="A4" s="18" t="str">
        <x:v>122 original records, including two exact duplicate tasks. Original labels and whitespace are preserved.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3" customHeight="1">
      <x:c r="A5" s="18" t="str">
        <x:v>Hourly value source: https://github.com/GlassHouse97/AI-Cost-Efficiency-Portfolio-Project/blob/main/QUESTIONS/TRACKS/quick-challenge/README.md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43" customHeight="1">
      <x:c r="A6" s="8" t="str">
        <x:v>work_item_id</x:v>
      </x:c>
      <x:c r="B6" s="9" t="str">
        <x:v>completion_date</x:v>
      </x:c>
      <x:c r="C6" s="9" t="str">
        <x:v>campaign</x:v>
      </x:c>
      <x:c r="D6" s="9" t="str">
        <x:v>department</x:v>
      </x:c>
      <x:c r="E6" s="9" t="str">
        <x:v>employee</x:v>
      </x:c>
      <x:c r="F6" s="9" t="str">
        <x:v>product</x:v>
      </x:c>
      <x:c r="G6" s="9" t="str">
        <x:v>model</x:v>
      </x:c>
      <x:c r="H6" s="9" t="str">
        <x:v>task_type</x:v>
      </x:c>
      <x:c r="I6" s="9" t="str">
        <x:v>prompt_count</x:v>
      </x:c>
      <x:c r="J6" s="9" t="str">
        <x:v>input_tokens</x:v>
      </x:c>
      <x:c r="K6" s="9" t="str">
        <x:v>output_tokens</x:v>
      </x:c>
      <x:c r="L6" s="9" t="str">
        <x:v>input_rate_usd_per_million</x:v>
      </x:c>
      <x:c r="M6" s="9" t="str">
        <x:v>output_rate_usd_per_million</x:v>
      </x:c>
      <x:c r="N6" s="9" t="str">
        <x:v>baseline_hours</x:v>
      </x:c>
      <x:c r="O6" s="9" t="str">
        <x:v>actual_hours</x:v>
      </x:c>
      <x:c r="P6" s="9" t="str">
        <x:v>rework_hours</x:v>
      </x:c>
      <x:c r="Q6" s="10" t="str">
        <x:v>issue_tag</x:v>
      </x:c>
    </x:row>
    <x:row r="7" ht="23" customHeight="1">
      <x:c r="A7" s="3" t="str">
        <x:v>W0001</x:v>
      </x:c>
      <x:c r="B7" s="13" t="n">
        <x:v>46275</x:v>
      </x:c>
      <x:c r="C7" s="3" t="str">
        <x:v>Campaign 1</x:v>
      </x:c>
      <x:c r="D7" s="3" t="str">
        <x:v>Content</x:v>
      </x:c>
      <x:c r="E7" s="3" t="str">
        <x:v>Avery Morgan</x:v>
      </x:c>
      <x:c r="F7" s="3" t="str">
        <x:v>CopyStudio</x:v>
      </x:c>
      <x:c r="G7" s="3" t="str">
        <x:v>Pro</x:v>
      </x:c>
      <x:c r="H7" s="3" t="str">
        <x:v>Write ad copy</x:v>
      </x:c>
      <x:c r="I7" s="14" t="n">
        <x:v>12</x:v>
      </x:c>
      <x:c r="J7" s="14" t="n">
        <x:v>258261</x:v>
      </x:c>
      <x:c r="K7" s="14" t="n">
        <x:v>113210</x:v>
      </x:c>
      <x:c r="L7" s="14" t="n">
        <x:v>40</x:v>
      </x:c>
      <x:c r="M7" s="14" t="n">
        <x:v>100</x:v>
      </x:c>
      <x:c r="N7" s="15" t="n">
        <x:v>4.57</x:v>
      </x:c>
      <x:c r="O7" s="15" t="n">
        <x:v>4.75</x:v>
      </x:c>
      <x:c r="P7" s="15" t="n">
        <x:v>0.65</x:v>
      </x:c>
      <x:c r="Q7" s="3" t="str">
        <x:v>Data problem</x:v>
      </x:c>
    </x:row>
    <x:row r="8" ht="23" customHeight="1">
      <x:c r="A8" s="3" t="str">
        <x:v>W0002</x:v>
      </x:c>
      <x:c r="B8" s="13" t="n">
        <x:v>46286</x:v>
      </x:c>
      <x:c r="C8" s="3" t="str">
        <x:v>Campaign 1</x:v>
      </x:c>
      <x:c r="D8" s="3" t="str">
        <x:v>Content</x:v>
      </x:c>
      <x:c r="E8" s="3" t="str">
        <x:v>Jordan Ellis</x:v>
      </x:c>
      <x:c r="F8" s="3" t="str">
        <x:v>CopyStudio</x:v>
      </x:c>
      <x:c r="G8" s="3" t="str">
        <x:v>Lite</x:v>
      </x:c>
      <x:c r="H8" s="3" t="str">
        <x:v>Draft email sequence</x:v>
      </x:c>
      <x:c r="I8" s="14" t="n">
        <x:v>11</x:v>
      </x:c>
      <x:c r="J8" s="14" t="n">
        <x:v>539899</x:v>
      </x:c>
      <x:c r="K8" s="14" t="n">
        <x:v>94901</x:v>
      </x:c>
      <x:c r="L8" s="14" t="n">
        <x:v>10</x:v>
      </x:c>
      <x:c r="M8" s="14" t="n">
        <x:v>30</x:v>
      </x:c>
      <x:c r="N8" s="15" t="n">
        <x:v>4.11</x:v>
      </x:c>
      <x:c r="O8" s="15" t="n">
        <x:v>4.62</x:v>
      </x:c>
      <x:c r="P8" s="15" t="n">
        <x:v>0.33</x:v>
      </x:c>
      <x:c r="Q8" s="3" t="str">
        <x:v>Unclear prompt</x:v>
      </x:c>
    </x:row>
    <x:row r="9" ht="23" customHeight="1">
      <x:c r="A9" s="3" t="str">
        <x:v>W0003</x:v>
      </x:c>
      <x:c r="B9" s="13" t="n">
        <x:v>46295</x:v>
      </x:c>
      <x:c r="C9" s="3" t="str">
        <x:v>Campaign 1</x:v>
      </x:c>
      <x:c r="D9" s="3" t="str">
        <x:v>Creative</x:v>
      </x:c>
      <x:c r="E9" s="3" t="str">
        <x:v>Riley Chen</x:v>
      </x:c>
      <x:c r="F9" s="3" t="str">
        <x:v>CampaignChat</x:v>
      </x:c>
      <x:c r="G9" s="3" t="str">
        <x:v>Lite</x:v>
      </x:c>
      <x:c r="H9" s="3" t="str">
        <x:v>Plan visual narrative</x:v>
      </x:c>
      <x:c r="I9" s="14" t="n">
        <x:v>12</x:v>
      </x:c>
      <x:c r="J9" s="14" t="n">
        <x:v>294521</x:v>
      </x:c>
      <x:c r="K9" s="14" t="n">
        <x:v>128067</x:v>
      </x:c>
      <x:c r="L9" s="14" t="n">
        <x:v>10</x:v>
      </x:c>
      <x:c r="M9" s="14" t="n">
        <x:v>30</x:v>
      </x:c>
      <x:c r="N9" s="15" t="n">
        <x:v>2.76</x:v>
      </x:c>
      <x:c r="O9" s="15" t="n">
        <x:v>2.95</x:v>
      </x:c>
      <x:c r="P9" s="15" t="n">
        <x:v>0.39</x:v>
      </x:c>
      <x:c r="Q9" s="3" t="str">
        <x:v>Brief changed</x:v>
      </x:c>
    </x:row>
    <x:row r="10" ht="23" customHeight="1">
      <x:c r="A10" s="3" t="str">
        <x:v>W0004</x:v>
      </x:c>
      <x:c r="B10" s="13" t="n">
        <x:v>46280</x:v>
      </x:c>
      <x:c r="C10" s="3" t="str">
        <x:v>Campaign 1</x:v>
      </x:c>
      <x:c r="D10" s="3" t="str">
        <x:v>Creative</x:v>
      </x:c>
      <x:c r="E10" s="3" t="str">
        <x:v>Taylor Brooks</x:v>
      </x:c>
      <x:c r="F10" s="3" t="str">
        <x:v>InsightDesk</x:v>
      </x:c>
      <x:c r="G10" s="3" t="str">
        <x:v>Pro</x:v>
      </x:c>
      <x:c r="H10" s="3" t="str">
        <x:v>Develop concept brief</x:v>
      </x:c>
      <x:c r="I10" s="14" t="n">
        <x:v>9</x:v>
      </x:c>
      <x:c r="J10" s="14" t="n">
        <x:v>157768</x:v>
      </x:c>
      <x:c r="K10" s="14" t="n">
        <x:v>70853</x:v>
      </x:c>
      <x:c r="L10" s="14" t="n">
        <x:v>40</x:v>
      </x:c>
      <x:c r="M10" s="14" t="n">
        <x:v>100</x:v>
      </x:c>
      <x:c r="N10" s="15" t="n">
        <x:v>3.13</x:v>
      </x:c>
      <x:c r="O10" s="15" t="n">
        <x:v>4.19</x:v>
      </x:c>
      <x:c r="P10" s="15" t="n">
        <x:v>0.31</x:v>
      </x:c>
      <x:c r="Q10" s="3" t="str">
        <x:v>None</x:v>
      </x:c>
    </x:row>
    <x:row r="11" ht="23" customHeight="1">
      <x:c r="A11" s="3" t="str">
        <x:v>W0005</x:v>
      </x:c>
      <x:c r="B11" s="13" t="n">
        <x:v>46289</x:v>
      </x:c>
      <x:c r="C11" s="3" t="str">
        <x:v>Campaign 1</x:v>
      </x:c>
      <x:c r="D11" s="3" t="str">
        <x:v>  marketing operations </x:v>
      </x:c>
      <x:c r="E11" s="3" t="str">
        <x:v>Casey Rivera</x:v>
      </x:c>
      <x:c r="F11" s="3" t="str">
        <x:v>DataFlow</x:v>
      </x:c>
      <x:c r="G11" s="3" t="str">
        <x:v>Lite</x:v>
      </x:c>
      <x:c r="H11" s="3" t="str">
        <x:v>Clean audience data</x:v>
      </x:c>
      <x:c r="I11" s="14" t="n">
        <x:v>16</x:v>
      </x:c>
      <x:c r="J11" s="14" t="n">
        <x:v>772081</x:v>
      </x:c>
      <x:c r="K11" s="14" t="n">
        <x:v>111113</x:v>
      </x:c>
      <x:c r="L11" s="14" t="n">
        <x:v>10</x:v>
      </x:c>
      <x:c r="M11" s="14" t="n">
        <x:v>30</x:v>
      </x:c>
      <x:c r="N11" s="15" t="n">
        <x:v>4.36</x:v>
      </x:c>
      <x:c r="O11" s="15" t="n">
        <x:v>4.53</x:v>
      </x:c>
      <x:c r="P11" s="15" t="n">
        <x:v>0.65</x:v>
      </x:c>
      <x:c r="Q11" s="3" t="str">
        <x:v>Unclear prompt</x:v>
      </x:c>
    </x:row>
    <x:row r="12" ht="23" customHeight="1">
      <x:c r="A12" s="3" t="str">
        <x:v>W0006</x:v>
      </x:c>
      <x:c r="B12" s="13" t="n">
        <x:v>46274</x:v>
      </x:c>
      <x:c r="C12" s="3" t="str">
        <x:v>Campaign 1</x:v>
      </x:c>
      <x:c r="D12" s="3" t="str">
        <x:v>Marketing Operations</x:v>
      </x:c>
      <x:c r="E12" s="3" t="str">
        <x:v>Morgan Reed</x:v>
      </x:c>
      <x:c r="F12" s="3" t="str">
        <x:v>DataFlow</x:v>
      </x:c>
      <x:c r="G12" s="3" t="str">
        <x:v>Lite</x:v>
      </x:c>
      <x:c r="H12" s="3" t="str">
        <x:v>Prepare launch checklist</x:v>
      </x:c>
      <x:c r="I12" s="14" t="n">
        <x:v>10</x:v>
      </x:c>
      <x:c r="J12" s="14" t="n">
        <x:v>561089</x:v>
      </x:c>
      <x:c r="K12" s="14" t="n">
        <x:v>114566</x:v>
      </x:c>
      <x:c r="L12" s="14" t="n">
        <x:v>10</x:v>
      </x:c>
      <x:c r="M12" s="14" t="n">
        <x:v>30</x:v>
      </x:c>
      <x:c r="N12" s="15" t="n">
        <x:v>4.89</x:v>
      </x:c>
      <x:c r="O12" s="15" t="n">
        <x:v>5.43</x:v>
      </x:c>
      <x:c r="P12" s="15" t="n">
        <x:v>0.44</x:v>
      </x:c>
      <x:c r="Q12" s="3" t="str">
        <x:v>Unclear prompt</x:v>
      </x:c>
    </x:row>
    <x:row r="13" ht="23" customHeight="1">
      <x:c r="A13" s="3" t="str">
        <x:v>W0007</x:v>
      </x:c>
      <x:c r="B13" s="13" t="n">
        <x:v>46283</x:v>
      </x:c>
      <x:c r="C13" s="3" t="str">
        <x:v>Campaign 1</x:v>
      </x:c>
      <x:c r="D13" s="3" t="str">
        <x:v>Analytics</x:v>
      </x:c>
      <x:c r="E13" s="3" t="str">
        <x:v>Quinn Parker</x:v>
      </x:c>
      <x:c r="F13" s="3" t="str">
        <x:v>InsightDesk</x:v>
      </x:c>
      <x:c r="G13" s="3" t="str">
        <x:v>Lite</x:v>
      </x:c>
      <x:c r="H13" s="3" t="str">
        <x:v>Analyze campaign results</x:v>
      </x:c>
      <x:c r="I13" s="14" t="n">
        <x:v>15</x:v>
      </x:c>
      <x:c r="J13" s="14" t="n">
        <x:v>671183</x:v>
      </x:c>
      <x:c r="K13" s="14" t="n">
        <x:v>156442</x:v>
      </x:c>
      <x:c r="L13" s="14" t="n">
        <x:v>10</x:v>
      </x:c>
      <x:c r="M13" s="14" t="n">
        <x:v>30</x:v>
      </x:c>
      <x:c r="N13" s="15" t="n">
        <x:v>4.32</x:v>
      </x:c>
      <x:c r="O13" s="15" t="n">
        <x:v>5.21</x:v>
      </x:c>
      <x:c r="P13" s="15" t="n">
        <x:v>0.22</x:v>
      </x:c>
      <x:c r="Q13" s="3" t="str">
        <x:v>Data problem</x:v>
      </x:c>
    </x:row>
    <x:row r="14" ht="23" customHeight="1">
      <x:c r="A14" s="3" t="str">
        <x:v>W0008</x:v>
      </x:c>
      <x:c r="B14" s="13" t="n">
        <x:v>46294</x:v>
      </x:c>
      <x:c r="C14" s="3" t="str">
        <x:v>Campaign 1</x:v>
      </x:c>
      <x:c r="D14" s="3" t="str">
        <x:v>Analytics</x:v>
      </x:c>
      <x:c r="E14" s="3" t="str">
        <x:v>Jamie Patel</x:v>
      </x:c>
      <x:c r="F14" s="3" t="str">
        <x:v>InsightDesk</x:v>
      </x:c>
      <x:c r="G14" s="3" t="str">
        <x:v>Lite</x:v>
      </x:c>
      <x:c r="H14" s="3" t="str">
        <x:v>Summarize audience insights</x:v>
      </x:c>
      <x:c r="I14" s="14" t="n">
        <x:v>9</x:v>
      </x:c>
      <x:c r="J14" s="14" t="n">
        <x:v>458384</x:v>
      </x:c>
      <x:c r="K14" s="14" t="n">
        <x:v>93614</x:v>
      </x:c>
      <x:c r="L14" s="14" t="n">
        <x:v>10</x:v>
      </x:c>
      <x:c r="M14" s="14" t="n">
        <x:v>30</x:v>
      </x:c>
      <x:c r="N14" s="15" t="n">
        <x:v>4.64</x:v>
      </x:c>
      <x:c r="O14" s="15" t="n">
        <x:v>6.01</x:v>
      </x:c>
      <x:c r="P14" s="15" t="n">
        <x:v>0.25</x:v>
      </x:c>
      <x:c r="Q14" s="3" t="str">
        <x:v>Data problem</x:v>
      </x:c>
    </x:row>
    <x:row r="15" ht="23" customHeight="1">
      <x:c r="A15" s="3" t="str">
        <x:v>W0009</x:v>
      </x:c>
      <x:c r="B15" s="13" t="n">
        <x:v>46279</x:v>
      </x:c>
      <x:c r="C15" s="3" t="str">
        <x:v>Campaign 1</x:v>
      </x:c>
      <x:c r="D15" s="3" t="str">
        <x:v>Content</x:v>
      </x:c>
      <x:c r="E15" s="3" t="str">
        <x:v>Avery Morgan</x:v>
      </x:c>
      <x:c r="F15" s="3" t="str">
        <x:v>CopyStudio</x:v>
      </x:c>
      <x:c r="G15" s="3" t="str">
        <x:v>Lite</x:v>
      </x:c>
      <x:c r="H15" s="3" t="str">
        <x:v>Edit landing page</x:v>
      </x:c>
      <x:c r="I15" s="14" t="n">
        <x:v>9</x:v>
      </x:c>
      <x:c r="J15" s="14" t="n">
        <x:v>435279</x:v>
      </x:c>
      <x:c r="K15" s="14" t="n">
        <x:v>85546</x:v>
      </x:c>
      <x:c r="L15" s="14" t="n">
        <x:v>10</x:v>
      </x:c>
      <x:c r="M15" s="14" t="n">
        <x:v>30</x:v>
      </x:c>
      <x:c r="N15" s="15" t="n">
        <x:v>4.69</x:v>
      </x:c>
      <x:c r="O15" s="15" t="n">
        <x:v>2.45</x:v>
      </x:c>
      <x:c r="P15" s="15" t="n">
        <x:v>0.11</x:v>
      </x:c>
      <x:c r="Q15" s="3" t="str">
        <x:v>None</x:v>
      </x:c>
    </x:row>
    <x:row r="16" ht="23" customHeight="1">
      <x:c r="A16" s="3" t="str">
        <x:v>W0010</x:v>
      </x:c>
      <x:c r="B16" s="13" t="n">
        <x:v>46288</x:v>
      </x:c>
      <x:c r="C16" s="3" t="str">
        <x:v>Campaign 1</x:v>
      </x:c>
      <x:c r="D16" s="3" t="str">
        <x:v>Content</x:v>
      </x:c>
      <x:c r="E16" s="3" t="str">
        <x:v>Jordan Ellis</x:v>
      </x:c>
      <x:c r="F16" s="3" t="str">
        <x:v>CopyStudio</x:v>
      </x:c>
      <x:c r="G16" s="3" t="str">
        <x:v>Lite</x:v>
      </x:c>
      <x:c r="H16" s="3" t="str">
        <x:v>Write ad copy</x:v>
      </x:c>
      <x:c r="I16" s="14" t="n">
        <x:v>9</x:v>
      </x:c>
      <x:c r="J16" s="14" t="n">
        <x:v>483839</x:v>
      </x:c>
      <x:c r="K16" s="14" t="n">
        <x:v>92033</x:v>
      </x:c>
      <x:c r="L16" s="14" t="n">
        <x:v>10</x:v>
      </x:c>
      <x:c r="M16" s="14" t="n">
        <x:v>30</x:v>
      </x:c>
      <x:c r="N16" s="15" t="n">
        <x:v>4</x:v>
      </x:c>
      <x:c r="O16" s="15" t="n">
        <x:v>2.18</x:v>
      </x:c>
      <x:c r="P16" s="15" t="n">
        <x:v>0.14</x:v>
      </x:c>
      <x:c r="Q16" s="3" t="str">
        <x:v>None</x:v>
      </x:c>
    </x:row>
    <x:row r="17" ht="23" customHeight="1">
      <x:c r="A17" s="3" t="str">
        <x:v>W0011</x:v>
      </x:c>
      <x:c r="B17" s="13" t="n">
        <x:v>46273</x:v>
      </x:c>
      <x:c r="C17" s="3" t="str">
        <x:v>Campaign 1</x:v>
      </x:c>
      <x:c r="D17" s="3" t="str">
        <x:v>Creative</x:v>
      </x:c>
      <x:c r="E17" s="3" t="str">
        <x:v>Riley Chen</x:v>
      </x:c>
      <x:c r="F17" s="3" t="str">
        <x:v>CampaignChat</x:v>
      </x:c>
      <x:c r="G17" s="3" t="str">
        <x:v>Lite</x:v>
      </x:c>
      <x:c r="H17" s="3" t="str">
        <x:v>Review creative variants</x:v>
      </x:c>
      <x:c r="I17" s="14" t="n">
        <x:v>10</x:v>
      </x:c>
      <x:c r="J17" s="14" t="n">
        <x:v>323449</x:v>
      </x:c>
      <x:c r="K17" s="14" t="n">
        <x:v>84287</x:v>
      </x:c>
      <x:c r="L17" s="14" t="n">
        <x:v>10</x:v>
      </x:c>
      <x:c r="M17" s="14" t="n">
        <x:v>30</x:v>
      </x:c>
      <x:c r="N17" s="15" t="n">
        <x:v>3.2</x:v>
      </x:c>
      <x:c r="O17" s="15" t="n">
        <x:v>1.43</x:v>
      </x:c>
      <x:c r="P17" s="15" t="n">
        <x:v>0.05</x:v>
      </x:c>
      <x:c r="Q17" s="3" t="str">
        <x:v>None</x:v>
      </x:c>
    </x:row>
    <x:row r="18" ht="23" customHeight="1">
      <x:c r="A18" s="3" t="str">
        <x:v>W0012</x:v>
      </x:c>
      <x:c r="B18" s="13" t="n">
        <x:v>46282</x:v>
      </x:c>
      <x:c r="C18" s="3" t="str">
        <x:v>Campaign 1</x:v>
      </x:c>
      <x:c r="D18" s="3" t="str">
        <x:v>Creative</x:v>
      </x:c>
      <x:c r="E18" s="3" t="str">
        <x:v>Taylor Brooks</x:v>
      </x:c>
      <x:c r="F18" s="3" t="str">
        <x:v>CampaignChat</x:v>
      </x:c>
      <x:c r="G18" s="3" t="str">
        <x:v>Pro</x:v>
      </x:c>
      <x:c r="H18" s="3" t="str">
        <x:v>Plan visual narrative</x:v>
      </x:c>
      <x:c r="I18" s="14" t="n">
        <x:v>10</x:v>
      </x:c>
      <x:c r="J18" s="14" t="n">
        <x:v>178366</x:v>
      </x:c>
      <x:c r="K18" s="14" t="n">
        <x:v>101926</x:v>
      </x:c>
      <x:c r="L18" s="14" t="n">
        <x:v>40</x:v>
      </x:c>
      <x:c r="M18" s="14" t="n">
        <x:v>100</x:v>
      </x:c>
      <x:c r="N18" s="15" t="n">
        <x:v>3.84</x:v>
      </x:c>
      <x:c r="O18" s="15" t="n">
        <x:v>1.54</x:v>
      </x:c>
      <x:c r="P18" s="15" t="n">
        <x:v>0.02</x:v>
      </x:c>
      <x:c r="Q18" s="3" t="str">
        <x:v>None</x:v>
      </x:c>
    </x:row>
    <x:row r="19" ht="23" customHeight="1">
      <x:c r="A19" s="3" t="str">
        <x:v>W0013</x:v>
      </x:c>
      <x:c r="B19" s="13" t="n">
        <x:v>46293</x:v>
      </x:c>
      <x:c r="C19" s="3" t="str">
        <x:v>Campaign 1</x:v>
      </x:c>
      <x:c r="D19" s="3" t="str">
        <x:v>Marketing Operations</x:v>
      </x:c>
      <x:c r="E19" s="3" t="str">
        <x:v>Casey Rivera</x:v>
      </x:c>
      <x:c r="F19" s="3" t="str">
        <x:v>DataFlow</x:v>
      </x:c>
      <x:c r="G19" s="3" t="str">
        <x:v>Lite</x:v>
      </x:c>
      <x:c r="H19" s="3" t="str">
        <x:v>Build campaign plan</x:v>
      </x:c>
      <x:c r="I19" s="14" t="n">
        <x:v>11</x:v>
      </x:c>
      <x:c r="J19" s="14" t="n">
        <x:v>273171</x:v>
      </x:c>
      <x:c r="K19" s="14" t="n">
        <x:v>50676</x:v>
      </x:c>
      <x:c r="L19" s="14" t="n">
        <x:v>10</x:v>
      </x:c>
      <x:c r="M19" s="14" t="n">
        <x:v>30</x:v>
      </x:c>
      <x:c r="N19" s="15" t="n">
        <x:v>4.23</x:v>
      </x:c>
      <x:c r="O19" s="15" t="n">
        <x:v>1.35</x:v>
      </x:c>
      <x:c r="P19" s="15" t="n">
        <x:v>0.2</x:v>
      </x:c>
      <x:c r="Q19" s="3" t="str">
        <x:v>Brief changed</x:v>
      </x:c>
    </x:row>
    <x:row r="20" ht="23" customHeight="1">
      <x:c r="A20" s="3" t="str">
        <x:v>W0014</x:v>
      </x:c>
      <x:c r="B20" s="13" t="n">
        <x:v>46276</x:v>
      </x:c>
      <x:c r="C20" s="3" t="str">
        <x:v>Campaign 1</x:v>
      </x:c>
      <x:c r="D20" s="3" t="str">
        <x:v>Marketing Operations</x:v>
      </x:c>
      <x:c r="E20" s="3" t="str">
        <x:v>Morgan Reed</x:v>
      </x:c>
      <x:c r="F20" s="3" t="str">
        <x:v>DataFlow</x:v>
      </x:c>
      <x:c r="G20" s="3" t="str">
        <x:v>Lite</x:v>
      </x:c>
      <x:c r="H20" s="3" t="str">
        <x:v>Clean audience data</x:v>
      </x:c>
      <x:c r="I20" s="14" t="n">
        <x:v>7</x:v>
      </x:c>
      <x:c r="J20" s="14" t="n">
        <x:v>297094</x:v>
      </x:c>
      <x:c r="K20" s="14" t="n">
        <x:v>78626</x:v>
      </x:c>
      <x:c r="L20" s="14" t="n">
        <x:v>10</x:v>
      </x:c>
      <x:c r="M20" s="14" t="n">
        <x:v>30</x:v>
      </x:c>
      <x:c r="N20" s="15" t="n">
        <x:v>3.61</x:v>
      </x:c>
      <x:c r="O20" s="15" t="n">
        <x:v>1.95</x:v>
      </x:c>
      <x:c r="P20" s="15" t="n">
        <x:v>0.35</x:v>
      </x:c>
      <x:c r="Q20" s="3" t="str">
        <x:v>Data problem</x:v>
      </x:c>
    </x:row>
    <x:row r="21" ht="23" customHeight="1">
      <x:c r="A21" s="3" t="str">
        <x:v>W0015</x:v>
      </x:c>
      <x:c r="B21" s="13" t="n">
        <x:v>46287</x:v>
      </x:c>
      <x:c r="C21" s="3" t="str">
        <x:v>Campaign 1</x:v>
      </x:c>
      <x:c r="D21" s="3" t="str">
        <x:v>Analytics</x:v>
      </x:c>
      <x:c r="E21" s="3" t="str">
        <x:v>Quinn Parker</x:v>
      </x:c>
      <x:c r="F21" s="3" t="str">
        <x:v>InsightDesk</x:v>
      </x:c>
      <x:c r="G21" s="3" t="str">
        <x:v>Pro</x:v>
      </x:c>
      <x:c r="H21" s="3" t="str">
        <x:v>Check measurement plan</x:v>
      </x:c>
      <x:c r="I21" s="14" t="n">
        <x:v>8</x:v>
      </x:c>
      <x:c r="J21" s="14" t="n">
        <x:v>174851</x:v>
      </x:c>
      <x:c r="K21" s="14" t="n">
        <x:v>63453</x:v>
      </x:c>
      <x:c r="L21" s="14" t="n">
        <x:v>40</x:v>
      </x:c>
      <x:c r="M21" s="14" t="n">
        <x:v>100</x:v>
      </x:c>
      <x:c r="N21" s="15" t="n">
        <x:v>4.21</x:v>
      </x:c>
      <x:c r="O21" s="15" t="n">
        <x:v>2.15</x:v>
      </x:c>
      <x:c r="P21" s="15" t="n">
        <x:v>0.09</x:v>
      </x:c>
      <x:c r="Q21" s="3" t="str">
        <x:v>None</x:v>
      </x:c>
    </x:row>
    <x:row r="22" ht="23" customHeight="1">
      <x:c r="A22" s="3" t="str">
        <x:v>W0016</x:v>
      </x:c>
      <x:c r="B22" s="13" t="n">
        <x:v>46269</x:v>
      </x:c>
      <x:c r="C22" s="3" t="str">
        <x:v>Campaign 1</x:v>
      </x:c>
      <x:c r="D22" s="3" t="str">
        <x:v>Analytics</x:v>
      </x:c>
      <x:c r="E22" s="3" t="str">
        <x:v>Jamie Patel</x:v>
      </x:c>
      <x:c r="F22" s="3" t="str">
        <x:v>InsightDesk</x:v>
      </x:c>
      <x:c r="G22" s="3" t="str">
        <x:v>Pro</x:v>
      </x:c>
      <x:c r="H22" s="3" t="str">
        <x:v>Analyze campaign results</x:v>
      </x:c>
      <x:c r="I22" s="14" t="n">
        <x:v>11</x:v>
      </x:c>
      <x:c r="J22" s="14" t="n">
        <x:v>186617</x:v>
      </x:c>
      <x:c r="K22" s="14" t="n">
        <x:v>106767</x:v>
      </x:c>
      <x:c r="L22" s="14" t="n">
        <x:v>40</x:v>
      </x:c>
      <x:c r="M22" s="14" t="n">
        <x:v>100</x:v>
      </x:c>
      <x:c r="N22" s="15" t="n">
        <x:v>3.91</x:v>
      </x:c>
      <x:c r="O22" s="15" t="n">
        <x:v>2.04</x:v>
      </x:c>
      <x:c r="P22" s="15" t="n">
        <x:v>0.26</x:v>
      </x:c>
      <x:c r="Q22" s="3" t="str">
        <x:v>Brief changed</x:v>
      </x:c>
    </x:row>
    <x:row r="23" ht="23" customHeight="1">
      <x:c r="A23" s="3" t="str">
        <x:v>W0017</x:v>
      </x:c>
      <x:c r="B23" s="13" t="n">
        <x:v>46281</x:v>
      </x:c>
      <x:c r="C23" s="3" t="str">
        <x:v>Campaign 1</x:v>
      </x:c>
      <x:c r="D23" s="3" t="str">
        <x:v>Content</x:v>
      </x:c>
      <x:c r="E23" s="3" t="str">
        <x:v>Avery Morgan</x:v>
      </x:c>
      <x:c r="F23" s="3" t="str">
        <x:v>CopyStudio</x:v>
      </x:c>
      <x:c r="G23" s="3" t="str">
        <x:v>Lite</x:v>
      </x:c>
      <x:c r="H23" s="3" t="str">
        <x:v>Draft email sequence</x:v>
      </x:c>
      <x:c r="I23" s="14" t="n">
        <x:v>12</x:v>
      </x:c>
      <x:c r="J23" s="14" t="n">
        <x:v>547176</x:v>
      </x:c>
      <x:c r="K23" s="14" t="n">
        <x:v>95814</x:v>
      </x:c>
      <x:c r="L23" s="14" t="n">
        <x:v>10</x:v>
      </x:c>
      <x:c r="M23" s="14" t="n">
        <x:v>30</x:v>
      </x:c>
      <x:c r="N23" s="15" t="n">
        <x:v>2.77</x:v>
      </x:c>
      <x:c r="O23" s="15" t="n">
        <x:v>1.21</x:v>
      </x:c>
      <x:c r="P23" s="15" t="n">
        <x:v>0.02</x:v>
      </x:c>
      <x:c r="Q23" s="3" t="str">
        <x:v>None</x:v>
      </x:c>
    </x:row>
    <x:row r="24" ht="23" customHeight="1">
      <x:c r="A24" s="3" t="str">
        <x:v>W0018</x:v>
      </x:c>
      <x:c r="B24" s="13" t="n">
        <x:v>46290</x:v>
      </x:c>
      <x:c r="C24" s="3" t="str">
        <x:v>Campaign 1</x:v>
      </x:c>
      <x:c r="D24" s="3" t="str">
        <x:v>  content </x:v>
      </x:c>
      <x:c r="E24" s="3" t="str">
        <x:v>Jordan Ellis</x:v>
      </x:c>
      <x:c r="F24" s="3" t="str">
        <x:v>CopyStudio</x:v>
      </x:c>
      <x:c r="G24" s="3" t="str">
        <x:v>Lite</x:v>
      </x:c>
      <x:c r="H24" s="3" t="str">
        <x:v>Edit landing page</x:v>
      </x:c>
      <x:c r="I24" s="14" t="n">
        <x:v>13</x:v>
      </x:c>
      <x:c r="J24" s="14" t="n">
        <x:v>680501</x:v>
      </x:c>
      <x:c r="K24" s="14" t="n">
        <x:v>102212</x:v>
      </x:c>
      <x:c r="L24" s="14" t="n">
        <x:v>10</x:v>
      </x:c>
      <x:c r="M24" s="14" t="n">
        <x:v>30</x:v>
      </x:c>
      <x:c r="N24" s="15" t="n">
        <x:v>5.26</x:v>
      </x:c>
      <x:c r="O24" s="15" t="n">
        <x:v>2.96</x:v>
      </x:c>
      <x:c r="P24" s="15" t="n">
        <x:v>0.45</x:v>
      </x:c>
      <x:c r="Q24" s="3" t="str">
        <x:v>Unclear prompt</x:v>
      </x:c>
    </x:row>
    <x:row r="25" ht="23" customHeight="1">
      <x:c r="A25" s="3" t="str">
        <x:v>W0019</x:v>
      </x:c>
      <x:c r="B25" s="13" t="n">
        <x:v>46275</x:v>
      </x:c>
      <x:c r="C25" s="3" t="str">
        <x:v>Campaign 1</x:v>
      </x:c>
      <x:c r="D25" s="3" t="str">
        <x:v>Creative</x:v>
      </x:c>
      <x:c r="E25" s="3" t="str">
        <x:v>Riley Chen</x:v>
      </x:c>
      <x:c r="F25" s="3" t="str">
        <x:v>CampaignChat</x:v>
      </x:c>
      <x:c r="G25" s="3" t="str">
        <x:v>Pro</x:v>
      </x:c>
      <x:c r="H25" s="3" t="str">
        <x:v>Develop concept brief</x:v>
      </x:c>
      <x:c r="I25" s="14" t="n">
        <x:v>8</x:v>
      </x:c>
      <x:c r="J25" s="14" t="n">
        <x:v>146897</x:v>
      </x:c>
      <x:c r="K25" s="14" t="n">
        <x:v>44737</x:v>
      </x:c>
      <x:c r="L25" s="14" t="n">
        <x:v>40</x:v>
      </x:c>
      <x:c r="M25" s="14" t="n">
        <x:v>100</x:v>
      </x:c>
      <x:c r="N25" s="15" t="n">
        <x:v>3</x:v>
      </x:c>
      <x:c r="O25" s="15" t="n">
        <x:v>1.51</x:v>
      </x:c>
      <x:c r="P25" s="15" t="n">
        <x:v>0.08</x:v>
      </x:c>
      <x:c r="Q25" s="3" t="str">
        <x:v>None</x:v>
      </x:c>
    </x:row>
    <x:row r="26" ht="23" customHeight="1">
      <x:c r="A26" s="3" t="str">
        <x:v>W0020</x:v>
      </x:c>
      <x:c r="B26" s="13" t="n">
        <x:v>46286</x:v>
      </x:c>
      <x:c r="C26" s="3" t="str">
        <x:v>Campaign 1</x:v>
      </x:c>
      <x:c r="D26" s="3" t="str">
        <x:v>Creative</x:v>
      </x:c>
      <x:c r="E26" s="3" t="str">
        <x:v>Taylor Brooks</x:v>
      </x:c>
      <x:c r="F26" s="3" t="str">
        <x:v>CampaignChat</x:v>
      </x:c>
      <x:c r="G26" s="3" t="str">
        <x:v>Lite</x:v>
      </x:c>
      <x:c r="H26" s="3" t="str">
        <x:v>Review creative variants</x:v>
      </x:c>
      <x:c r="I26" s="14" t="n">
        <x:v>8</x:v>
      </x:c>
      <x:c r="J26" s="14" t="n">
        <x:v>340278</x:v>
      </x:c>
      <x:c r="K26" s="14" t="n">
        <x:v>49462</x:v>
      </x:c>
      <x:c r="L26" s="14" t="n">
        <x:v>10</x:v>
      </x:c>
      <x:c r="M26" s="14" t="n">
        <x:v>30</x:v>
      </x:c>
      <x:c r="N26" s="15" t="n">
        <x:v>2.78</x:v>
      </x:c>
      <x:c r="O26" s="15" t="n">
        <x:v>1.52</x:v>
      </x:c>
      <x:c r="P26" s="15" t="n">
        <x:v>0.06</x:v>
      </x:c>
      <x:c r="Q26" s="3" t="str">
        <x:v>None</x:v>
      </x:c>
    </x:row>
    <x:row r="27" ht="23" customHeight="1">
      <x:c r="A27" s="3" t="str">
        <x:v>W0021</x:v>
      </x:c>
      <x:c r="B27" s="13" t="n">
        <x:v>46295</x:v>
      </x:c>
      <x:c r="C27" s="3" t="str">
        <x:v>Campaign 1</x:v>
      </x:c>
      <x:c r="D27" s="3" t="str">
        <x:v>Marketing Operations</x:v>
      </x:c>
      <x:c r="E27" s="3" t="str">
        <x:v>Casey Rivera</x:v>
      </x:c>
      <x:c r="F27" s="3" t="str">
        <x:v>DataFlow</x:v>
      </x:c>
      <x:c r="G27" s="3" t="str">
        <x:v>Lite</x:v>
      </x:c>
      <x:c r="H27" s="3" t="str">
        <x:v>Prepare launch checklist</x:v>
      </x:c>
      <x:c r="I27" s="14" t="n">
        <x:v>8</x:v>
      </x:c>
      <x:c r="J27" s="14" t="n">
        <x:v>434783</x:v>
      </x:c>
      <x:c r="K27" s="14" t="n">
        <x:v>69747</x:v>
      </x:c>
      <x:c r="L27" s="14" t="n">
        <x:v>10</x:v>
      </x:c>
      <x:c r="M27" s="14" t="n">
        <x:v>30</x:v>
      </x:c>
      <x:c r="N27" s="15" t="n">
        <x:v>2.9</x:v>
      </x:c>
      <x:c r="O27" s="15" t="n">
        <x:v>1.42</x:v>
      </x:c>
      <x:c r="P27" s="15" t="n">
        <x:v>0.12</x:v>
      </x:c>
      <x:c r="Q27" s="3" t="str">
        <x:v>None</x:v>
      </x:c>
    </x:row>
    <x:row r="28" ht="23" customHeight="1">
      <x:c r="A28" s="3" t="str">
        <x:v>W0022</x:v>
      </x:c>
      <x:c r="B28" s="13" t="n">
        <x:v>46280</x:v>
      </x:c>
      <x:c r="C28" s="3" t="str">
        <x:v>Campaign 1</x:v>
      </x:c>
      <x:c r="D28" s="3" t="str">
        <x:v>Marketing Operations</x:v>
      </x:c>
      <x:c r="E28" s="3" t="str">
        <x:v>Morgan Reed</x:v>
      </x:c>
      <x:c r="F28" s="3" t="str">
        <x:v>DataFlow</x:v>
      </x:c>
      <x:c r="G28" s="3" t="str">
        <x:v>Lite</x:v>
      </x:c>
      <x:c r="H28" s="3" t="str">
        <x:v>Build campaign plan</x:v>
      </x:c>
      <x:c r="I28" s="14" t="n">
        <x:v>12</x:v>
      </x:c>
      <x:c r="J28" s="14" t="n">
        <x:v>659372</x:v>
      </x:c>
      <x:c r="K28" s="14" t="n">
        <x:v>120788</x:v>
      </x:c>
      <x:c r="L28" s="14" t="n">
        <x:v>10</x:v>
      </x:c>
      <x:c r="M28" s="14" t="n">
        <x:v>30</x:v>
      </x:c>
      <x:c r="N28" s="15" t="n">
        <x:v>3.22</x:v>
      </x:c>
      <x:c r="O28" s="15" t="n">
        <x:v>1.57</x:v>
      </x:c>
      <x:c r="P28" s="15" t="n">
        <x:v>0.07</x:v>
      </x:c>
      <x:c r="Q28" s="3" t="str">
        <x:v>None</x:v>
      </x:c>
    </x:row>
    <x:row r="29" ht="23" customHeight="1">
      <x:c r="A29" s="3" t="str">
        <x:v>W0023</x:v>
      </x:c>
      <x:c r="B29" s="13" t="n">
        <x:v>46289</x:v>
      </x:c>
      <x:c r="C29" s="3" t="str">
        <x:v>Campaign 1</x:v>
      </x:c>
      <x:c r="D29" s="3" t="str">
        <x:v>Analytics</x:v>
      </x:c>
      <x:c r="E29" s="3" t="str">
        <x:v>Quinn Parker</x:v>
      </x:c>
      <x:c r="F29" s="3" t="str">
        <x:v>InsightDesk</x:v>
      </x:c>
      <x:c r="G29" s="3" t="str">
        <x:v>Pro</x:v>
      </x:c>
      <x:c r="H29" s="3" t="str">
        <x:v>Summarize audience insights</x:v>
      </x:c>
      <x:c r="I29" s="14" t="n">
        <x:v>8</x:v>
      </x:c>
      <x:c r="J29" s="14" t="n">
        <x:v>174462</x:v>
      </x:c>
      <x:c r="K29" s="14" t="n">
        <x:v>59744</x:v>
      </x:c>
      <x:c r="L29" s="14" t="n">
        <x:v>40</x:v>
      </x:c>
      <x:c r="M29" s="14" t="n">
        <x:v>100</x:v>
      </x:c>
      <x:c r="N29" s="15" t="n">
        <x:v>5.14</x:v>
      </x:c>
      <x:c r="O29" s="15" t="n">
        <x:v>2.29</x:v>
      </x:c>
      <x:c r="P29" s="15" t="n">
        <x:v>0.05</x:v>
      </x:c>
      <x:c r="Q29" s="3" t="str">
        <x:v>Unclear prompt</x:v>
      </x:c>
    </x:row>
    <x:row r="30" ht="23" customHeight="1">
      <x:c r="A30" s="3" t="str">
        <x:v>W0024</x:v>
      </x:c>
      <x:c r="B30" s="13" t="n">
        <x:v>46274</x:v>
      </x:c>
      <x:c r="C30" s="3" t="str">
        <x:v>Campaign 1</x:v>
      </x:c>
      <x:c r="D30" s="3" t="str">
        <x:v>Analytics</x:v>
      </x:c>
      <x:c r="E30" s="3" t="str">
        <x:v>Jamie Patel</x:v>
      </x:c>
      <x:c r="F30" s="3" t="str">
        <x:v>CampaignChat</x:v>
      </x:c>
      <x:c r="G30" s="3" t="str">
        <x:v>Lite</x:v>
      </x:c>
      <x:c r="H30" s="3" t="str">
        <x:v>Check measurement plan</x:v>
      </x:c>
      <x:c r="I30" s="14" t="n">
        <x:v>12</x:v>
      </x:c>
      <x:c r="J30" s="14" t="n">
        <x:v>374816</x:v>
      </x:c>
      <x:c r="K30" s="14" t="n">
        <x:v>107305</x:v>
      </x:c>
      <x:c r="L30" s="14" t="n">
        <x:v>10</x:v>
      </x:c>
      <x:c r="M30" s="14" t="n">
        <x:v>30</x:v>
      </x:c>
      <x:c r="N30" s="15" t="n">
        <x:v>3.52</x:v>
      </x:c>
      <x:c r="O30" s="15" t="n">
        <x:v>1.92</x:v>
      </x:c>
      <x:c r="P30" s="15" t="n">
        <x:v>0.15</x:v>
      </x:c>
      <x:c r="Q30" s="3" t="str">
        <x:v>None</x:v>
      </x:c>
    </x:row>
    <x:row r="31" ht="23" customHeight="1">
      <x:c r="A31" s="3" t="str">
        <x:v>W0025</x:v>
      </x:c>
      <x:c r="B31" s="13" t="n">
        <x:v>46283</x:v>
      </x:c>
      <x:c r="C31" s="3" t="str">
        <x:v>Campaign 1</x:v>
      </x:c>
      <x:c r="D31" s="3" t="str">
        <x:v>Content</x:v>
      </x:c>
      <x:c r="E31" s="3" t="str">
        <x:v>Avery Morgan</x:v>
      </x:c>
      <x:c r="F31" s="3" t="str">
        <x:v>CopyStudio</x:v>
      </x:c>
      <x:c r="G31" s="3" t="str">
        <x:v>Lite</x:v>
      </x:c>
      <x:c r="H31" s="3" t="str">
        <x:v>Write ad copy</x:v>
      </x:c>
      <x:c r="I31" s="14" t="n">
        <x:v>9</x:v>
      </x:c>
      <x:c r="J31" s="14" t="n">
        <x:v>295324</x:v>
      </x:c>
      <x:c r="K31" s="14" t="n">
        <x:v>103406</x:v>
      </x:c>
      <x:c r="L31" s="14" t="n">
        <x:v>10</x:v>
      </x:c>
      <x:c r="M31" s="14" t="n">
        <x:v>30</x:v>
      </x:c>
      <x:c r="N31" s="15" t="n">
        <x:v>4.92</x:v>
      </x:c>
      <x:c r="O31" s="15" t="n">
        <x:v>2.74</x:v>
      </x:c>
      <x:c r="P31" s="15" t="n">
        <x:v>0.07</x:v>
      </x:c>
      <x:c r="Q31" s="3" t="str">
        <x:v>Brief changed</x:v>
      </x:c>
    </x:row>
    <x:row r="32" ht="23" customHeight="1">
      <x:c r="A32" s="3" t="str">
        <x:v>W0026</x:v>
      </x:c>
      <x:c r="B32" s="13" t="n">
        <x:v>46294</x:v>
      </x:c>
      <x:c r="C32" s="3" t="str">
        <x:v>Campaign 1</x:v>
      </x:c>
      <x:c r="D32" s="3" t="str">
        <x:v>Content</x:v>
      </x:c>
      <x:c r="E32" s="3" t="str">
        <x:v>Jordan Ellis</x:v>
      </x:c>
      <x:c r="F32" s="3" t="str">
        <x:v>CopyStudio</x:v>
      </x:c>
      <x:c r="G32" s="3" t="str">
        <x:v>Lite</x:v>
      </x:c>
      <x:c r="H32" s="3" t="str">
        <x:v>Draft email sequence</x:v>
      </x:c>
      <x:c r="I32" s="14" t="n">
        <x:v>12</x:v>
      </x:c>
      <x:c r="J32" s="14" t="n">
        <x:v>509456</x:v>
      </x:c>
      <x:c r="K32" s="14" t="n">
        <x:v>73501</x:v>
      </x:c>
      <x:c r="L32" s="14" t="n">
        <x:v>10</x:v>
      </x:c>
      <x:c r="M32" s="14" t="n">
        <x:v>30</x:v>
      </x:c>
      <x:c r="N32" s="15" t="n">
        <x:v>3.8</x:v>
      </x:c>
      <x:c r="O32" s="15" t="n">
        <x:v>1.57</x:v>
      </x:c>
      <x:c r="P32" s="15" t="n">
        <x:v>0.03</x:v>
      </x:c>
      <x:c r="Q32" s="3" t="str">
        <x:v>None</x:v>
      </x:c>
    </x:row>
    <x:row r="33" ht="23" customHeight="1">
      <x:c r="A33" s="3" t="str">
        <x:v>W0027</x:v>
      </x:c>
      <x:c r="B33" s="13" t="n">
        <x:v>46279</x:v>
      </x:c>
      <x:c r="C33" s="3" t="str">
        <x:v>Campaign 1</x:v>
      </x:c>
      <x:c r="D33" s="3" t="str">
        <x:v>Creative</x:v>
      </x:c>
      <x:c r="E33" s="3" t="str">
        <x:v>Riley Chen</x:v>
      </x:c>
      <x:c r="F33" s="3" t="str">
        <x:v>CampaignChat</x:v>
      </x:c>
      <x:c r="G33" s="3" t="str">
        <x:v>Lite</x:v>
      </x:c>
      <x:c r="H33" s="3" t="str">
        <x:v>Plan visual narrative</x:v>
      </x:c>
      <x:c r="I33" s="14" t="n">
        <x:v>9</x:v>
      </x:c>
      <x:c r="J33" s="14" t="n">
        <x:v>474129</x:v>
      </x:c>
      <x:c r="K33" s="14" t="n">
        <x:v>52429</x:v>
      </x:c>
      <x:c r="L33" s="14" t="n">
        <x:v>10</x:v>
      </x:c>
      <x:c r="M33" s="14" t="n">
        <x:v>30</x:v>
      </x:c>
      <x:c r="N33" s="15" t="n">
        <x:v>4.7</x:v>
      </x:c>
      <x:c r="O33" s="15" t="n">
        <x:v>2.76</x:v>
      </x:c>
      <x:c r="P33" s="15" t="n">
        <x:v>0.14</x:v>
      </x:c>
      <x:c r="Q33" s="3" t="str">
        <x:v>None</x:v>
      </x:c>
    </x:row>
    <x:row r="34" ht="23" customHeight="1">
      <x:c r="A34" s="3" t="str">
        <x:v>W0028</x:v>
      </x:c>
      <x:c r="B34" s="13" t="n">
        <x:v>46288</x:v>
      </x:c>
      <x:c r="C34" s="3" t="str">
        <x:v>Campaign 1</x:v>
      </x:c>
      <x:c r="D34" s="3" t="str">
        <x:v>Creative</x:v>
      </x:c>
      <x:c r="E34" s="3" t="str">
        <x:v>Taylor Brooks</x:v>
      </x:c>
      <x:c r="F34" s="3" t="str">
        <x:v>CampaignChat</x:v>
      </x:c>
      <x:c r="G34" s="3" t="str">
        <x:v>Lite</x:v>
      </x:c>
      <x:c r="H34" s="3" t="str">
        <x:v>Develop concept brief</x:v>
      </x:c>
      <x:c r="I34" s="14" t="n">
        <x:v>10</x:v>
      </x:c>
      <x:c r="J34" s="14" t="n">
        <x:v>230814</x:v>
      </x:c>
      <x:c r="K34" s="14" t="n">
        <x:v>106368</x:v>
      </x:c>
      <x:c r="L34" s="14" t="n">
        <x:v>10</x:v>
      </x:c>
      <x:c r="M34" s="14" t="n">
        <x:v>30</x:v>
      </x:c>
      <x:c r="N34" s="15" t="n">
        <x:v>5.24</x:v>
      </x:c>
      <x:c r="O34" s="15" t="n">
        <x:v>2.88</x:v>
      </x:c>
      <x:c r="P34" s="15" t="n">
        <x:v>0.06</x:v>
      </x:c>
      <x:c r="Q34" s="3" t="str">
        <x:v>None</x:v>
      </x:c>
    </x:row>
    <x:row r="35" ht="23" customHeight="1">
      <x:c r="A35" s="3" t="str">
        <x:v>W0029</x:v>
      </x:c>
      <x:c r="B35" s="13" t="n">
        <x:v>46273</x:v>
      </x:c>
      <x:c r="C35" s="3" t="str">
        <x:v>Campaign 1</x:v>
      </x:c>
      <x:c r="D35" s="3" t="str">
        <x:v>Marketing Operations</x:v>
      </x:c>
      <x:c r="E35" s="3" t="str">
        <x:v>Casey Rivera</x:v>
      </x:c>
      <x:c r="F35" s="3" t="str">
        <x:v>CopyStudio</x:v>
      </x:c>
      <x:c r="G35" s="3" t="str">
        <x:v>Lite</x:v>
      </x:c>
      <x:c r="H35" s="3" t="str">
        <x:v>Clean audience data</x:v>
      </x:c>
      <x:c r="I35" s="14" t="n">
        <x:v>9</x:v>
      </x:c>
      <x:c r="J35" s="14" t="n">
        <x:v>433133</x:v>
      </x:c>
      <x:c r="K35" s="14" t="n">
        <x:v>90151</x:v>
      </x:c>
      <x:c r="L35" s="14" t="n">
        <x:v>10</x:v>
      </x:c>
      <x:c r="M35" s="14" t="n">
        <x:v>30</x:v>
      </x:c>
      <x:c r="N35" s="15" t="n">
        <x:v>3.78</x:v>
      </x:c>
      <x:c r="O35" s="15" t="n">
        <x:v>1.83</x:v>
      </x:c>
      <x:c r="P35" s="15" t="n">
        <x:v>0.14</x:v>
      </x:c>
      <x:c r="Q35" s="3" t="str">
        <x:v>Unclear prompt</x:v>
      </x:c>
    </x:row>
    <x:row r="36" ht="23" customHeight="1">
      <x:c r="A36" s="3" t="str">
        <x:v>W0030</x:v>
      </x:c>
      <x:c r="B36" s="13" t="n">
        <x:v>46282</x:v>
      </x:c>
      <x:c r="C36" s="3" t="str">
        <x:v>Campaign 1</x:v>
      </x:c>
      <x:c r="D36" s="3" t="str">
        <x:v>Marketing Operations</x:v>
      </x:c>
      <x:c r="E36" s="3" t="str">
        <x:v>Morgan Reed</x:v>
      </x:c>
      <x:c r="F36" s="3" t="str">
        <x:v>DataFlow</x:v>
      </x:c>
      <x:c r="G36" s="3" t="str">
        <x:v>Lite</x:v>
      </x:c>
      <x:c r="H36" s="3" t="str">
        <x:v>Prepare launch checklist</x:v>
      </x:c>
      <x:c r="I36" s="14" t="n">
        <x:v>7</x:v>
      </x:c>
      <x:c r="J36" s="14" t="n">
        <x:v>332653</x:v>
      </x:c>
      <x:c r="K36" s="14" t="n">
        <x:v>62817</x:v>
      </x:c>
      <x:c r="L36" s="14" t="n">
        <x:v>10</x:v>
      </x:c>
      <x:c r="M36" s="14" t="n">
        <x:v>30</x:v>
      </x:c>
      <x:c r="N36" s="15" t="n">
        <x:v>4.56</x:v>
      </x:c>
      <x:c r="O36" s="15" t="n">
        <x:v>2.18</x:v>
      </x:c>
      <x:c r="P36" s="15" t="n">
        <x:v>0.22</x:v>
      </x:c>
      <x:c r="Q36" s="3" t="str">
        <x:v>None</x:v>
      </x:c>
    </x:row>
    <x:row r="37" ht="23" customHeight="1">
      <x:c r="A37" s="3" t="str">
        <x:v>W0031</x:v>
      </x:c>
      <x:c r="B37" s="13" t="n">
        <x:v>46293</x:v>
      </x:c>
      <x:c r="C37" s="3" t="str">
        <x:v>Campaign 1</x:v>
      </x:c>
      <x:c r="D37" s="3" t="str">
        <x:v>Analytics</x:v>
      </x:c>
      <x:c r="E37" s="3" t="str">
        <x:v>Quinn Parker</x:v>
      </x:c>
      <x:c r="F37" s="3" t="str">
        <x:v>InsightDesk</x:v>
      </x:c>
      <x:c r="G37" s="3" t="str">
        <x:v>Lite</x:v>
      </x:c>
      <x:c r="H37" s="3" t="str">
        <x:v>Analyze campaign results</x:v>
      </x:c>
      <x:c r="I37" s="14" t="n">
        <x:v>8</x:v>
      </x:c>
      <x:c r="J37" s="14" t="n">
        <x:v>447950</x:v>
      </x:c>
      <x:c r="K37" s="14" t="n">
        <x:v>43142</x:v>
      </x:c>
      <x:c r="L37" s="14" t="n">
        <x:v>10</x:v>
      </x:c>
      <x:c r="M37" s="14" t="n">
        <x:v>30</x:v>
      </x:c>
      <x:c r="N37" s="15" t="n">
        <x:v>4.75</x:v>
      </x:c>
      <x:c r="O37" s="15" t="n">
        <x:v>2.46</x:v>
      </x:c>
      <x:c r="P37" s="15" t="n">
        <x:v>0.23</x:v>
      </x:c>
      <x:c r="Q37" s="3" t="str">
        <x:v>Unclear prompt</x:v>
      </x:c>
    </x:row>
    <x:row r="38" ht="23" customHeight="1">
      <x:c r="A38" s="3" t="str">
        <x:v>W0032</x:v>
      </x:c>
      <x:c r="B38" s="13" t="n">
        <x:v>46276</x:v>
      </x:c>
      <x:c r="C38" s="3" t="str">
        <x:v>Campaign 1</x:v>
      </x:c>
      <x:c r="D38" s="3" t="str">
        <x:v>Analytics</x:v>
      </x:c>
      <x:c r="E38" s="3" t="str">
        <x:v>Jamie Patel</x:v>
      </x:c>
      <x:c r="F38" s="3" t="str">
        <x:v>InsightDesk</x:v>
      </x:c>
      <x:c r="G38" s="3" t="str">
        <x:v>Lite</x:v>
      </x:c>
      <x:c r="H38" s="3" t="str">
        <x:v>Summarize audience insights</x:v>
      </x:c>
      <x:c r="I38" s="14" t="n">
        <x:v>11</x:v>
      </x:c>
      <x:c r="J38" s="14" t="n">
        <x:v>255955</x:v>
      </x:c>
      <x:c r="K38" s="14" t="n">
        <x:v>108179</x:v>
      </x:c>
      <x:c r="L38" s="14" t="n">
        <x:v>10</x:v>
      </x:c>
      <x:c r="M38" s="14" t="n">
        <x:v>30</x:v>
      </x:c>
      <x:c r="N38" s="15" t="n">
        <x:v>2.95</x:v>
      </x:c>
      <x:c r="O38" s="15" t="n">
        <x:v>1.7</x:v>
      </x:c>
      <x:c r="P38" s="15" t="n">
        <x:v>0.05</x:v>
      </x:c>
      <x:c r="Q38" s="3" t="str">
        <x:v>None</x:v>
      </x:c>
    </x:row>
    <x:row r="39" ht="23" customHeight="1">
      <x:c r="A39" s="3" t="str">
        <x:v>W0033</x:v>
      </x:c>
      <x:c r="B39" s="13" t="n">
        <x:v>46287</x:v>
      </x:c>
      <x:c r="C39" s="3" t="str">
        <x:v>Campaign 1</x:v>
      </x:c>
      <x:c r="D39" s="3" t="str">
        <x:v>Content</x:v>
      </x:c>
      <x:c r="E39" s="3" t="str">
        <x:v>Avery Morgan</x:v>
      </x:c>
      <x:c r="F39" s="3" t="str">
        <x:v>CopyStudio</x:v>
      </x:c>
      <x:c r="G39" s="3" t="str">
        <x:v>Lite</x:v>
      </x:c>
      <x:c r="H39" s="3" t="str">
        <x:v>Edit landing page</x:v>
      </x:c>
      <x:c r="I39" s="14" t="n">
        <x:v>10</x:v>
      </x:c>
      <x:c r="J39" s="14" t="n">
        <x:v>263264</x:v>
      </x:c>
      <x:c r="K39" s="14" t="n">
        <x:v>105355</x:v>
      </x:c>
      <x:c r="L39" s="14" t="n">
        <x:v>10</x:v>
      </x:c>
      <x:c r="M39" s="14" t="n">
        <x:v>30</x:v>
      </x:c>
      <x:c r="N39" s="15" t="n">
        <x:v>3.66</x:v>
      </x:c>
      <x:c r="O39" s="15" t="n">
        <x:v>1.57</x:v>
      </x:c>
      <x:c r="P39" s="15" t="n">
        <x:v>0.24</x:v>
      </x:c>
      <x:c r="Q39" s="3" t="str">
        <x:v>Data problem</x:v>
      </x:c>
    </x:row>
    <x:row r="40" ht="23" customHeight="1">
      <x:c r="A40" s="3" t="str">
        <x:v>W0034</x:v>
      </x:c>
      <x:c r="B40" s="13" t="n">
        <x:v>46269</x:v>
      </x:c>
      <x:c r="C40" s="3" t="str">
        <x:v>Campaign 1</x:v>
      </x:c>
      <x:c r="D40" s="3" t="str">
        <x:v>Content</x:v>
      </x:c>
      <x:c r="E40" s="3" t="str">
        <x:v>Jordan Ellis</x:v>
      </x:c>
      <x:c r="F40" s="3" t="str">
        <x:v>CopyStudio</x:v>
      </x:c>
      <x:c r="G40" s="3" t="str">
        <x:v>Lite</x:v>
      </x:c>
      <x:c r="H40" s="3" t="str">
        <x:v>Write ad copy</x:v>
      </x:c>
      <x:c r="I40" s="14" t="n">
        <x:v>10</x:v>
      </x:c>
      <x:c r="J40" s="14" t="n">
        <x:v>497355</x:v>
      </x:c>
      <x:c r="K40" s="14" t="n">
        <x:v>97642</x:v>
      </x:c>
      <x:c r="L40" s="14" t="n">
        <x:v>10</x:v>
      </x:c>
      <x:c r="M40" s="14" t="n">
        <x:v>30</x:v>
      </x:c>
      <x:c r="N40" s="15" t="n">
        <x:v>4.06</x:v>
      </x:c>
      <x:c r="O40" s="15" t="n">
        <x:v>1.46</x:v>
      </x:c>
      <x:c r="P40" s="15" t="n">
        <x:v>0.06</x:v>
      </x:c>
      <x:c r="Q40" s="3" t="str">
        <x:v>None</x:v>
      </x:c>
    </x:row>
    <x:row r="41" ht="23" customHeight="1">
      <x:c r="A41" s="3" t="str">
        <x:v>W0035</x:v>
      </x:c>
      <x:c r="B41" s="13" t="n">
        <x:v>46281</x:v>
      </x:c>
      <x:c r="C41" s="3" t="str">
        <x:v>Campaign 1</x:v>
      </x:c>
      <x:c r="D41" s="3" t="str">
        <x:v>Creative</x:v>
      </x:c>
      <x:c r="E41" s="3" t="str">
        <x:v>Riley Chen</x:v>
      </x:c>
      <x:c r="F41" s="3" t="str">
        <x:v>CampaignChat</x:v>
      </x:c>
      <x:c r="G41" s="3" t="str">
        <x:v>Lite</x:v>
      </x:c>
      <x:c r="H41" s="3" t="str">
        <x:v>Review creative variants</x:v>
      </x:c>
      <x:c r="I41" s="14" t="n">
        <x:v>7</x:v>
      </x:c>
      <x:c r="J41" s="14" t="n">
        <x:v>220774</x:v>
      </x:c>
      <x:c r="K41" s="14" t="n">
        <x:v>39464</x:v>
      </x:c>
      <x:c r="L41" s="14" t="n">
        <x:v>10</x:v>
      </x:c>
      <x:c r="M41" s="14" t="n">
        <x:v>30</x:v>
      </x:c>
      <x:c r="N41" s="15" t="n">
        <x:v>4.68</x:v>
      </x:c>
      <x:c r="O41" s="15" t="n">
        <x:v>1.65</x:v>
      </x:c>
      <x:c r="P41" s="15" t="n">
        <x:v>0.11</x:v>
      </x:c>
      <x:c r="Q41" s="3" t="str">
        <x:v>Data problem</x:v>
      </x:c>
    </x:row>
    <x:row r="42" ht="23" customHeight="1">
      <x:c r="A42" s="3" t="str">
        <x:v>W0036</x:v>
      </x:c>
      <x:c r="B42" s="13" t="n">
        <x:v>46290</x:v>
      </x:c>
      <x:c r="C42" s="3" t="str">
        <x:v>Campaign 1</x:v>
      </x:c>
      <x:c r="D42" s="3" t="str">
        <x:v>Creative</x:v>
      </x:c>
      <x:c r="E42" s="3" t="str">
        <x:v>Taylor Brooks</x:v>
      </x:c>
      <x:c r="F42" s="3" t="str">
        <x:v>CampaignChat</x:v>
      </x:c>
      <x:c r="G42" s="3" t="str">
        <x:v>Lite</x:v>
      </x:c>
      <x:c r="H42" s="3" t="str">
        <x:v>Plan visual narrative</x:v>
      </x:c>
      <x:c r="I42" s="14" t="n">
        <x:v>11</x:v>
      </x:c>
      <x:c r="J42" s="14" t="n">
        <x:v>559461</x:v>
      </x:c>
      <x:c r="K42" s="14" t="n">
        <x:v>94747</x:v>
      </x:c>
      <x:c r="L42" s="14" t="n">
        <x:v>10</x:v>
      </x:c>
      <x:c r="M42" s="14" t="n">
        <x:v>30</x:v>
      </x:c>
      <x:c r="N42" s="15" t="n">
        <x:v>5</x:v>
      </x:c>
      <x:c r="O42" s="15" t="n">
        <x:v>2.28</x:v>
      </x:c>
      <x:c r="P42" s="15" t="n">
        <x:v>0.1</x:v>
      </x:c>
      <x:c r="Q42" s="3" t="str">
        <x:v>Data problem</x:v>
      </x:c>
    </x:row>
    <x:row r="43" ht="23" customHeight="1">
      <x:c r="A43" s="3" t="str">
        <x:v>W0037</x:v>
      </x:c>
      <x:c r="B43" s="13" t="n">
        <x:v>46275</x:v>
      </x:c>
      <x:c r="C43" s="3" t="str">
        <x:v>Campaign 1</x:v>
      </x:c>
      <x:c r="D43" s="3" t="str">
        <x:v>  marketing operations </x:v>
      </x:c>
      <x:c r="E43" s="3" t="str">
        <x:v>Casey Rivera</x:v>
      </x:c>
      <x:c r="F43" s="3" t="str">
        <x:v>DataFlow</x:v>
      </x:c>
      <x:c r="G43" s="3" t="str">
        <x:v>Lite</x:v>
      </x:c>
      <x:c r="H43" s="3" t="str">
        <x:v>Build campaign plan</x:v>
      </x:c>
      <x:c r="I43" s="14" t="n">
        <x:v>11</x:v>
      </x:c>
      <x:c r="J43" s="14" t="n">
        <x:v>472175</x:v>
      </x:c>
      <x:c r="K43" s="14" t="n">
        <x:v>123639</x:v>
      </x:c>
      <x:c r="L43" s="14" t="n">
        <x:v>10</x:v>
      </x:c>
      <x:c r="M43" s="14" t="n">
        <x:v>30</x:v>
      </x:c>
      <x:c r="N43" s="15" t="n">
        <x:v>3.62</x:v>
      </x:c>
      <x:c r="O43" s="15" t="n">
        <x:v>1.65</x:v>
      </x:c>
      <x:c r="P43" s="15" t="n">
        <x:v>0.24</x:v>
      </x:c>
      <x:c r="Q43" s="3" t="str">
        <x:v>Brief changed</x:v>
      </x:c>
    </x:row>
    <x:row r="44" ht="23" customHeight="1">
      <x:c r="A44" s="3" t="str">
        <x:v>W0038</x:v>
      </x:c>
      <x:c r="B44" s="13" t="n">
        <x:v>46286</x:v>
      </x:c>
      <x:c r="C44" s="3" t="str">
        <x:v>Campaign 1</x:v>
      </x:c>
      <x:c r="D44" s="3" t="str">
        <x:v>Marketing Operations</x:v>
      </x:c>
      <x:c r="E44" s="3" t="str">
        <x:v>Morgan Reed</x:v>
      </x:c>
      <x:c r="F44" s="3" t="str">
        <x:v>DataFlow</x:v>
      </x:c>
      <x:c r="G44" s="3" t="str">
        <x:v>Pro</x:v>
      </x:c>
      <x:c r="H44" s="3" t="str">
        <x:v>Clean audience data</x:v>
      </x:c>
      <x:c r="I44" s="14" t="n">
        <x:v>10</x:v>
      </x:c>
      <x:c r="J44" s="14" t="n">
        <x:v>104495</x:v>
      </x:c>
      <x:c r="K44" s="14" t="n">
        <x:v>106942</x:v>
      </x:c>
      <x:c r="L44" s="14" t="n">
        <x:v>40</x:v>
      </x:c>
      <x:c r="M44" s="14" t="n">
        <x:v>100</x:v>
      </x:c>
      <x:c r="N44" s="15" t="n">
        <x:v>3.42</x:v>
      </x:c>
      <x:c r="O44" s="15" t="n">
        <x:v>1.77</x:v>
      </x:c>
      <x:c r="P44" s="15" t="n">
        <x:v>0.12</x:v>
      </x:c>
      <x:c r="Q44" s="3" t="str">
        <x:v>None</x:v>
      </x:c>
    </x:row>
    <x:row r="45" ht="23" customHeight="1">
      <x:c r="A45" s="3" t="str">
        <x:v>W0039</x:v>
      </x:c>
      <x:c r="B45" s="13" t="n">
        <x:v>46295</x:v>
      </x:c>
      <x:c r="C45" s="3" t="str">
        <x:v>Campaign 1</x:v>
      </x:c>
      <x:c r="D45" s="3" t="str">
        <x:v>Analytics</x:v>
      </x:c>
      <x:c r="E45" s="3" t="str">
        <x:v>Quinn Parker</x:v>
      </x:c>
      <x:c r="F45" s="3" t="str">
        <x:v>InsightDesk</x:v>
      </x:c>
      <x:c r="G45" s="3" t="str">
        <x:v>Lite</x:v>
      </x:c>
      <x:c r="H45" s="3" t="str">
        <x:v>Check measurement plan</x:v>
      </x:c>
      <x:c r="I45" s="14" t="n">
        <x:v>9</x:v>
      </x:c>
      <x:c r="J45" s="14" t="n">
        <x:v>510223</x:v>
      </x:c>
      <x:c r="K45" s="14" t="n">
        <x:v>48659</x:v>
      </x:c>
      <x:c r="L45" s="14" t="n">
        <x:v>10</x:v>
      </x:c>
      <x:c r="M45" s="14" t="n">
        <x:v>30</x:v>
      </x:c>
      <x:c r="N45" s="15" t="n">
        <x:v>3.13</x:v>
      </x:c>
      <x:c r="O45" s="15" t="n">
        <x:v>1.05</x:v>
      </x:c>
      <x:c r="P45" s="15" t="n">
        <x:v>0.07</x:v>
      </x:c>
      <x:c r="Q45" s="3" t="str">
        <x:v>None</x:v>
      </x:c>
    </x:row>
    <x:row r="46" ht="23" customHeight="1">
      <x:c r="A46" s="3" t="str">
        <x:v>W0040</x:v>
      </x:c>
      <x:c r="B46" s="13" t="n">
        <x:v>46280</x:v>
      </x:c>
      <x:c r="C46" s="3" t="str">
        <x:v>Campaign 1</x:v>
      </x:c>
      <x:c r="D46" s="3" t="str">
        <x:v>Analytics</x:v>
      </x:c>
      <x:c r="E46" s="3" t="str">
        <x:v>Jamie Patel</x:v>
      </x:c>
      <x:c r="F46" s="3" t="str">
        <x:v>InsightDesk</x:v>
      </x:c>
      <x:c r="G46" s="3" t="str">
        <x:v>Lite</x:v>
      </x:c>
      <x:c r="H46" s="3" t="str">
        <x:v>Analyze campaign results</x:v>
      </x:c>
      <x:c r="I46" s="14" t="n">
        <x:v>9</x:v>
      </x:c>
      <x:c r="J46" s="14" t="n">
        <x:v>269052</x:v>
      </x:c>
      <x:c r="K46" s="14" t="n">
        <x:v>73144</x:v>
      </x:c>
      <x:c r="L46" s="14" t="n">
        <x:v>10</x:v>
      </x:c>
      <x:c r="M46" s="14" t="n">
        <x:v>30</x:v>
      </x:c>
      <x:c r="N46" s="15" t="n">
        <x:v>2.88</x:v>
      </x:c>
      <x:c r="O46" s="15" t="n">
        <x:v>1.65</x:v>
      </x:c>
      <x:c r="P46" s="15" t="n">
        <x:v>0.24</x:v>
      </x:c>
      <x:c r="Q46" s="3" t="str">
        <x:v>Brief changed</x:v>
      </x:c>
    </x:row>
    <x:row r="47" ht="23" customHeight="1">
      <x:c r="A47" s="3" t="str">
        <x:v>W0041</x:v>
      </x:c>
      <x:c r="B47" s="13" t="n">
        <x:v>46289</x:v>
      </x:c>
      <x:c r="C47" s="3" t="str">
        <x:v>Campaign 1</x:v>
      </x:c>
      <x:c r="D47" s="3" t="str">
        <x:v>Content</x:v>
      </x:c>
      <x:c r="E47" s="3" t="str">
        <x:v>Avery Morgan</x:v>
      </x:c>
      <x:c r="F47" s="3" t="str">
        <x:v>CopyStudio</x:v>
      </x:c>
      <x:c r="G47" s="3" t="str">
        <x:v>Lite</x:v>
      </x:c>
      <x:c r="H47" s="3" t="str">
        <x:v>Draft email sequence</x:v>
      </x:c>
      <x:c r="I47" s="14" t="n">
        <x:v>10</x:v>
      </x:c>
      <x:c r="J47" s="14" t="n">
        <x:v>552806</x:v>
      </x:c>
      <x:c r="K47" s="14" t="n">
        <x:v>72740</x:v>
      </x:c>
      <x:c r="L47" s="14" t="n">
        <x:v>10</x:v>
      </x:c>
      <x:c r="M47" s="14" t="n">
        <x:v>30</x:v>
      </x:c>
      <x:c r="N47" s="15" t="n">
        <x:v>3.67</x:v>
      </x:c>
      <x:c r="O47" s="15" t="n">
        <x:v>2.08</x:v>
      </x:c>
      <x:c r="P47" s="15" t="n">
        <x:v>0.13</x:v>
      </x:c>
      <x:c r="Q47" s="3" t="str">
        <x:v>None</x:v>
      </x:c>
    </x:row>
    <x:row r="48" ht="23" customHeight="1">
      <x:c r="A48" s="3" t="str">
        <x:v>W0042</x:v>
      </x:c>
      <x:c r="B48" s="13" t="n">
        <x:v>46274</x:v>
      </x:c>
      <x:c r="C48" s="3" t="str">
        <x:v>Campaign 1</x:v>
      </x:c>
      <x:c r="D48" s="3" t="str">
        <x:v>Content</x:v>
      </x:c>
      <x:c r="E48" s="3" t="str">
        <x:v>Jordan Ellis</x:v>
      </x:c>
      <x:c r="F48" s="3" t="str">
        <x:v>CampaignChat</x:v>
      </x:c>
      <x:c r="G48" s="3" t="str">
        <x:v>Lite</x:v>
      </x:c>
      <x:c r="H48" s="3" t="str">
        <x:v>Edit landing page</x:v>
      </x:c>
      <x:c r="I48" s="14" t="n">
        <x:v>10</x:v>
      </x:c>
      <x:c r="J48" s="14" t="n">
        <x:v>224899</x:v>
      </x:c>
      <x:c r="K48" s="14" t="n">
        <x:v>68721</x:v>
      </x:c>
      <x:c r="L48" s="14" t="n">
        <x:v>10</x:v>
      </x:c>
      <x:c r="M48" s="14" t="n">
        <x:v>30</x:v>
      </x:c>
      <x:c r="N48" s="15" t="n">
        <x:v>4.17</x:v>
      </x:c>
      <x:c r="O48" s="15" t="n">
        <x:v>2.46</x:v>
      </x:c>
      <x:c r="P48" s="15" t="n">
        <x:v>0.32</x:v>
      </x:c>
      <x:c r="Q48" s="3" t="str">
        <x:v>Brief changed</x:v>
      </x:c>
    </x:row>
    <x:row r="49" ht="23" customHeight="1">
      <x:c r="A49" s="3" t="str">
        <x:v>W0043</x:v>
      </x:c>
      <x:c r="B49" s="13" t="n">
        <x:v>46283</x:v>
      </x:c>
      <x:c r="C49" s="3" t="str">
        <x:v>Campaign 1</x:v>
      </x:c>
      <x:c r="D49" s="3" t="str">
        <x:v>Creative</x:v>
      </x:c>
      <x:c r="E49" s="3" t="str">
        <x:v>Riley Chen</x:v>
      </x:c>
      <x:c r="F49" s="3" t="str">
        <x:v>CampaignChat</x:v>
      </x:c>
      <x:c r="G49" s="3" t="str">
        <x:v>Lite</x:v>
      </x:c>
      <x:c r="H49" s="3" t="str">
        <x:v>Develop concept brief</x:v>
      </x:c>
      <x:c r="I49" s="14" t="n">
        <x:v>10</x:v>
      </x:c>
      <x:c r="J49" s="14" t="n">
        <x:v>383868</x:v>
      </x:c>
      <x:c r="K49" s="14" t="n">
        <x:v>58416</x:v>
      </x:c>
      <x:c r="L49" s="14" t="n">
        <x:v>10</x:v>
      </x:c>
      <x:c r="M49" s="14" t="n">
        <x:v>30</x:v>
      </x:c>
      <x:c r="N49" s="15" t="n">
        <x:v>3.94</x:v>
      </x:c>
      <x:c r="O49" s="15" t="n">
        <x:v>1.79</x:v>
      </x:c>
      <x:c r="P49" s="15" t="n">
        <x:v>0.15</x:v>
      </x:c>
      <x:c r="Q49" s="3" t="str">
        <x:v>None</x:v>
      </x:c>
    </x:row>
    <x:row r="50" ht="23" customHeight="1">
      <x:c r="A50" s="3" t="str">
        <x:v>W0044</x:v>
      </x:c>
      <x:c r="B50" s="13" t="n">
        <x:v>46294</x:v>
      </x:c>
      <x:c r="C50" s="3" t="str">
        <x:v>Campaign 1</x:v>
      </x:c>
      <x:c r="D50" s="3" t="str">
        <x:v>Creative</x:v>
      </x:c>
      <x:c r="E50" s="3" t="str">
        <x:v>Taylor Brooks</x:v>
      </x:c>
      <x:c r="F50" s="3" t="str">
        <x:v>CampaignChat</x:v>
      </x:c>
      <x:c r="G50" s="3" t="str">
        <x:v>Pro</x:v>
      </x:c>
      <x:c r="H50" s="3" t="str">
        <x:v>Review creative variants</x:v>
      </x:c>
      <x:c r="I50" s="14" t="n">
        <x:v>11</x:v>
      </x:c>
      <x:c r="J50" s="14" t="n">
        <x:v>235395</x:v>
      </x:c>
      <x:c r="K50" s="14" t="n">
        <x:v>79156</x:v>
      </x:c>
      <x:c r="L50" s="14" t="n">
        <x:v>40</x:v>
      </x:c>
      <x:c r="M50" s="14" t="n">
        <x:v>100</x:v>
      </x:c>
      <x:c r="N50" s="15" t="n">
        <x:v>4.33</x:v>
      </x:c>
      <x:c r="O50" s="15" t="n">
        <x:v>2.1</x:v>
      </x:c>
      <x:c r="P50" s="15" t="n">
        <x:v>0.05</x:v>
      </x:c>
      <x:c r="Q50" s="3" t="str">
        <x:v>None</x:v>
      </x:c>
    </x:row>
    <x:row r="51" ht="23" customHeight="1">
      <x:c r="A51" s="3" t="str">
        <x:v>W0045</x:v>
      </x:c>
      <x:c r="B51" s="13" t="n">
        <x:v>46279</x:v>
      </x:c>
      <x:c r="C51" s="3" t="str">
        <x:v>Campaign 1</x:v>
      </x:c>
      <x:c r="D51" s="3" t="str">
        <x:v>Marketing Operations</x:v>
      </x:c>
      <x:c r="E51" s="3" t="str">
        <x:v>Casey Rivera</x:v>
      </x:c>
      <x:c r="F51" s="3" t="str">
        <x:v>DataFlow</x:v>
      </x:c>
      <x:c r="G51" s="3" t="str">
        <x:v>Lite</x:v>
      </x:c>
      <x:c r="H51" s="3" t="str">
        <x:v>Prepare launch checklist</x:v>
      </x:c>
      <x:c r="I51" s="14" t="n">
        <x:v>9</x:v>
      </x:c>
      <x:c r="J51" s="14" t="n">
        <x:v>339096</x:v>
      </x:c>
      <x:c r="K51" s="14" t="n">
        <x:v>56301</x:v>
      </x:c>
      <x:c r="L51" s="14" t="n">
        <x:v>10</x:v>
      </x:c>
      <x:c r="M51" s="14" t="n">
        <x:v>30</x:v>
      </x:c>
      <x:c r="N51" s="15" t="n">
        <x:v>4.64</x:v>
      </x:c>
      <x:c r="O51" s="15" t="n">
        <x:v>2.35</x:v>
      </x:c>
      <x:c r="P51" s="15" t="n">
        <x:v>0.32</x:v>
      </x:c>
      <x:c r="Q51" s="3" t="str">
        <x:v>Brief changed</x:v>
      </x:c>
    </x:row>
    <x:row r="52" ht="23" customHeight="1">
      <x:c r="A52" s="3" t="str">
        <x:v>W0046</x:v>
      </x:c>
      <x:c r="B52" s="13" t="n">
        <x:v>46288</x:v>
      </x:c>
      <x:c r="C52" s="3" t="str">
        <x:v>Campaign 1</x:v>
      </x:c>
      <x:c r="D52" s="3" t="str">
        <x:v>Marketing Operations</x:v>
      </x:c>
      <x:c r="E52" s="3" t="str">
        <x:v>Morgan Reed</x:v>
      </x:c>
      <x:c r="F52" s="3" t="str">
        <x:v>CampaignChat</x:v>
      </x:c>
      <x:c r="G52" s="3" t="str">
        <x:v>Lite</x:v>
      </x:c>
      <x:c r="H52" s="3" t="str">
        <x:v>Build campaign plan</x:v>
      </x:c>
      <x:c r="I52" s="14" t="n">
        <x:v>10</x:v>
      </x:c>
      <x:c r="J52" s="14" t="n">
        <x:v>536072</x:v>
      </x:c>
      <x:c r="K52" s="14" t="n">
        <x:v>82842</x:v>
      </x:c>
      <x:c r="L52" s="14" t="n">
        <x:v>10</x:v>
      </x:c>
      <x:c r="M52" s="14" t="n">
        <x:v>30</x:v>
      </x:c>
      <x:c r="N52" s="15" t="n">
        <x:v>4.96</x:v>
      </x:c>
      <x:c r="O52" s="15" t="n">
        <x:v>2.3</x:v>
      </x:c>
      <x:c r="P52" s="15" t="n">
        <x:v>0.03</x:v>
      </x:c>
      <x:c r="Q52" s="3" t="str">
        <x:v>None</x:v>
      </x:c>
    </x:row>
    <x:row r="53" ht="23" customHeight="1">
      <x:c r="A53" s="3" t="str">
        <x:v>W0047</x:v>
      </x:c>
      <x:c r="B53" s="13" t="n">
        <x:v>46273</x:v>
      </x:c>
      <x:c r="C53" s="3" t="str">
        <x:v>Campaign 1</x:v>
      </x:c>
      <x:c r="D53" s="3" t="str">
        <x:v>Analytics</x:v>
      </x:c>
      <x:c r="E53" s="3" t="str">
        <x:v>Quinn Parker</x:v>
      </x:c>
      <x:c r="F53" s="3" t="str">
        <x:v>InsightDesk</x:v>
      </x:c>
      <x:c r="G53" s="3" t="str">
        <x:v>Lite</x:v>
      </x:c>
      <x:c r="H53" s="3" t="str">
        <x:v>Summarize audience insights</x:v>
      </x:c>
      <x:c r="I53" s="14" t="n">
        <x:v>11</x:v>
      </x:c>
      <x:c r="J53" s="14" t="n">
        <x:v>286730</x:v>
      </x:c>
      <x:c r="K53" s="14" t="n">
        <x:v>107270</x:v>
      </x:c>
      <x:c r="L53" s="14" t="n">
        <x:v>10</x:v>
      </x:c>
      <x:c r="M53" s="14" t="n">
        <x:v>30</x:v>
      </x:c>
      <x:c r="N53" s="15" t="n">
        <x:v>2.76</x:v>
      </x:c>
      <x:c r="O53" s="15" t="n">
        <x:v>1.65</x:v>
      </x:c>
      <x:c r="P53" s="15" t="n">
        <x:v>0.15</x:v>
      </x:c>
      <x:c r="Q53" s="3" t="str">
        <x:v>None</x:v>
      </x:c>
    </x:row>
    <x:row r="54" ht="23" customHeight="1">
      <x:c r="A54" s="3" t="str">
        <x:v>W0048</x:v>
      </x:c>
      <x:c r="B54" s="13" t="n">
        <x:v>46282</x:v>
      </x:c>
      <x:c r="C54" s="3" t="str">
        <x:v>Campaign 1</x:v>
      </x:c>
      <x:c r="D54" s="3" t="str">
        <x:v>Analytics</x:v>
      </x:c>
      <x:c r="E54" s="3" t="str">
        <x:v>Jamie Patel</x:v>
      </x:c>
      <x:c r="F54" s="3" t="str">
        <x:v>InsightDesk</x:v>
      </x:c>
      <x:c r="G54" s="3" t="str">
        <x:v>Lite</x:v>
      </x:c>
      <x:c r="H54" s="3" t="str">
        <x:v>Check measurement plan</x:v>
      </x:c>
      <x:c r="I54" s="14" t="n">
        <x:v>9</x:v>
      </x:c>
      <x:c r="J54" s="14" t="n">
        <x:v>449397</x:v>
      </x:c>
      <x:c r="K54" s="14" t="n">
        <x:v>69916</x:v>
      </x:c>
      <x:c r="L54" s="14" t="n">
        <x:v>10</x:v>
      </x:c>
      <x:c r="M54" s="14" t="n">
        <x:v>30</x:v>
      </x:c>
      <x:c r="N54" s="15" t="n">
        <x:v>2.71</x:v>
      </x:c>
      <x:c r="O54" s="15" t="n">
        <x:v>1.12</x:v>
      </x:c>
      <x:c r="P54" s="15" t="n">
        <x:v>0.1</x:v>
      </x:c>
      <x:c r="Q54" s="3" t="str">
        <x:v>Brief changed</x:v>
      </x:c>
    </x:row>
    <x:row r="55" ht="23" customHeight="1">
      <x:c r="A55" s="3" t="str">
        <x:v>W0049</x:v>
      </x:c>
      <x:c r="B55" s="13" t="n">
        <x:v>46293</x:v>
      </x:c>
      <x:c r="C55" s="3" t="str">
        <x:v>Campaign 1</x:v>
      </x:c>
      <x:c r="D55" s="3" t="str">
        <x:v>Content</x:v>
      </x:c>
      <x:c r="E55" s="3" t="str">
        <x:v>Avery Morgan</x:v>
      </x:c>
      <x:c r="F55" s="3" t="str">
        <x:v>CopyStudio</x:v>
      </x:c>
      <x:c r="G55" s="3" t="str">
        <x:v>Lite</x:v>
      </x:c>
      <x:c r="H55" s="3" t="str">
        <x:v>Write ad copy</x:v>
      </x:c>
      <x:c r="I55" s="14" t="n">
        <x:v>11</x:v>
      </x:c>
      <x:c r="J55" s="14" t="n">
        <x:v>398534</x:v>
      </x:c>
      <x:c r="K55" s="14" t="n">
        <x:v>49911</x:v>
      </x:c>
      <x:c r="L55" s="14" t="n">
        <x:v>10</x:v>
      </x:c>
      <x:c r="M55" s="14" t="n">
        <x:v>30</x:v>
      </x:c>
      <x:c r="N55" s="15" t="n">
        <x:v>5.06</x:v>
      </x:c>
      <x:c r="O55" s="15" t="n">
        <x:v>2.59</x:v>
      </x:c>
      <x:c r="P55" s="15" t="n">
        <x:v>0.08</x:v>
      </x:c>
      <x:c r="Q55" s="3" t="str">
        <x:v>None</x:v>
      </x:c>
    </x:row>
    <x:row r="56" ht="23" customHeight="1">
      <x:c r="A56" s="3" t="str">
        <x:v>W0050</x:v>
      </x:c>
      <x:c r="B56" s="13" t="n">
        <x:v>46276</x:v>
      </x:c>
      <x:c r="C56" s="3" t="str">
        <x:v>Campaign 1</x:v>
      </x:c>
      <x:c r="D56" s="3" t="str">
        <x:v>Content</x:v>
      </x:c>
      <x:c r="E56" s="3" t="str">
        <x:v>Jordan Ellis</x:v>
      </x:c>
      <x:c r="F56" s="3" t="str">
        <x:v>CopyStudio</x:v>
      </x:c>
      <x:c r="G56" s="3" t="str">
        <x:v>Lite</x:v>
      </x:c>
      <x:c r="H56" s="3" t="str">
        <x:v>Draft email sequence</x:v>
      </x:c>
      <x:c r="I56" s="14" t="n">
        <x:v>10</x:v>
      </x:c>
      <x:c r="J56" s="14" t="n">
        <x:v>529934</x:v>
      </x:c>
      <x:c r="K56" s="14" t="n">
        <x:v>83164</x:v>
      </x:c>
      <x:c r="L56" s="14" t="n">
        <x:v>10</x:v>
      </x:c>
      <x:c r="M56" s="14" t="n">
        <x:v>30</x:v>
      </x:c>
      <x:c r="N56" s="15" t="n">
        <x:v>5.22</x:v>
      </x:c>
      <x:c r="O56" s="15" t="n">
        <x:v>2.8</x:v>
      </x:c>
      <x:c r="P56" s="15" t="n">
        <x:v>0.05</x:v>
      </x:c>
      <x:c r="Q56" s="3" t="str">
        <x:v>None</x:v>
      </x:c>
    </x:row>
    <x:row r="57" ht="23" customHeight="1">
      <x:c r="A57" s="3" t="str">
        <x:v>W0051</x:v>
      </x:c>
      <x:c r="B57" s="13" t="n">
        <x:v>46287</x:v>
      </x:c>
      <x:c r="C57" s="3" t="str">
        <x:v>Campaign 1</x:v>
      </x:c>
      <x:c r="D57" s="3" t="str">
        <x:v>Creative</x:v>
      </x:c>
      <x:c r="E57" s="3" t="str">
        <x:v>Riley Chen</x:v>
      </x:c>
      <x:c r="F57" s="3" t="str">
        <x:v>CampaignChat</x:v>
      </x:c>
      <x:c r="G57" s="3" t="str">
        <x:v>Lite</x:v>
      </x:c>
      <x:c r="H57" s="3" t="str">
        <x:v>Plan visual narrative</x:v>
      </x:c>
      <x:c r="I57" s="14" t="n">
        <x:v>8</x:v>
      </x:c>
      <x:c r="J57" s="14" t="n">
        <x:v>241384</x:v>
      </x:c>
      <x:c r="K57" s="14" t="n">
        <x:v>77739</x:v>
      </x:c>
      <x:c r="L57" s="14" t="n">
        <x:v>10</x:v>
      </x:c>
      <x:c r="M57" s="14" t="n">
        <x:v>30</x:v>
      </x:c>
      <x:c r="N57" s="15" t="n">
        <x:v>3.64</x:v>
      </x:c>
      <x:c r="O57" s="15" t="n">
        <x:v>2.09</x:v>
      </x:c>
      <x:c r="P57" s="15" t="n">
        <x:v>0.17</x:v>
      </x:c>
      <x:c r="Q57" s="3" t="str">
        <x:v>None</x:v>
      </x:c>
    </x:row>
    <x:row r="58" ht="23" customHeight="1">
      <x:c r="A58" s="3" t="str">
        <x:v>W0052</x:v>
      </x:c>
      <x:c r="B58" s="13" t="n">
        <x:v>46269</x:v>
      </x:c>
      <x:c r="C58" s="3" t="str">
        <x:v>Campaign 1</x:v>
      </x:c>
      <x:c r="D58" s="3" t="str">
        <x:v>Creative</x:v>
      </x:c>
      <x:c r="E58" s="3" t="str">
        <x:v>Taylor Brooks</x:v>
      </x:c>
      <x:c r="F58" s="3" t="str">
        <x:v>CampaignChat</x:v>
      </x:c>
      <x:c r="G58" s="3" t="str">
        <x:v>Pro</x:v>
      </x:c>
      <x:c r="H58" s="3" t="str">
        <x:v>Develop concept brief</x:v>
      </x:c>
      <x:c r="I58" s="14" t="n">
        <x:v>8</x:v>
      </x:c>
      <x:c r="J58" s="14" t="n">
        <x:v>87719</x:v>
      </x:c>
      <x:c r="K58" s="14" t="n">
        <x:v>62305</x:v>
      </x:c>
      <x:c r="L58" s="14" t="n">
        <x:v>40</x:v>
      </x:c>
      <x:c r="M58" s="14" t="n">
        <x:v>100</x:v>
      </x:c>
      <x:c r="N58" s="15" t="n">
        <x:v>4.61</x:v>
      </x:c>
      <x:c r="O58" s="15" t="n">
        <x:v>2.09</x:v>
      </x:c>
      <x:c r="P58" s="15" t="n">
        <x:v>0.12</x:v>
      </x:c>
      <x:c r="Q58" s="3" t="str">
        <x:v>None</x:v>
      </x:c>
    </x:row>
    <x:row r="59" ht="23" customHeight="1">
      <x:c r="A59" s="3" t="str">
        <x:v>W0053</x:v>
      </x:c>
      <x:c r="B59" s="13" t="n">
        <x:v>46281</x:v>
      </x:c>
      <x:c r="C59" s="3" t="str">
        <x:v>Campaign 1</x:v>
      </x:c>
      <x:c r="D59" s="3" t="str">
        <x:v>Marketing Operations</x:v>
      </x:c>
      <x:c r="E59" s="3" t="str">
        <x:v>Casey Rivera</x:v>
      </x:c>
      <x:c r="F59" s="3" t="str">
        <x:v>DataFlow</x:v>
      </x:c>
      <x:c r="G59" s="3" t="str">
        <x:v>Pro</x:v>
      </x:c>
      <x:c r="H59" s="3" t="str">
        <x:v>Clean audience data</x:v>
      </x:c>
      <x:c r="I59" s="14" t="n">
        <x:v>8</x:v>
      </x:c>
      <x:c r="J59" s="14" t="n">
        <x:v>179488</x:v>
      </x:c>
      <x:c r="K59" s="14" t="n">
        <x:v>93599</x:v>
      </x:c>
      <x:c r="L59" s="14" t="n">
        <x:v>40</x:v>
      </x:c>
      <x:c r="M59" s="14" t="n">
        <x:v>100</x:v>
      </x:c>
      <x:c r="N59" s="15" t="n">
        <x:v>2.7</x:v>
      </x:c>
      <x:c r="O59" s="15" t="n">
        <x:v>1.48</x:v>
      </x:c>
      <x:c r="P59" s="15" t="n">
        <x:v>0.09</x:v>
      </x:c>
      <x:c r="Q59" s="3" t="str">
        <x:v>None</x:v>
      </x:c>
    </x:row>
    <x:row r="60" ht="23" customHeight="1">
      <x:c r="A60" s="3" t="str">
        <x:v>W0054</x:v>
      </x:c>
      <x:c r="B60" s="13" t="n">
        <x:v>46290</x:v>
      </x:c>
      <x:c r="C60" s="3" t="str">
        <x:v>Campaign 1</x:v>
      </x:c>
      <x:c r="D60" s="3" t="str">
        <x:v>Marketing Operations</x:v>
      </x:c>
      <x:c r="E60" s="3" t="str">
        <x:v>Morgan Reed</x:v>
      </x:c>
      <x:c r="F60" s="3" t="str">
        <x:v>DataFlow</x:v>
      </x:c>
      <x:c r="G60" s="3" t="str">
        <x:v>Lite</x:v>
      </x:c>
      <x:c r="H60" s="3" t="str">
        <x:v>Prepare launch checklist</x:v>
      </x:c>
      <x:c r="I60" s="14" t="n">
        <x:v>12</x:v>
      </x:c>
      <x:c r="J60" s="14" t="n">
        <x:v>641992</x:v>
      </x:c>
      <x:c r="K60" s="14" t="n">
        <x:v>56373</x:v>
      </x:c>
      <x:c r="L60" s="14" t="n">
        <x:v>10</x:v>
      </x:c>
      <x:c r="M60" s="14" t="n">
        <x:v>30</x:v>
      </x:c>
      <x:c r="N60" s="15" t="n">
        <x:v>5.04</x:v>
      </x:c>
      <x:c r="O60" s="15" t="n">
        <x:v>2.81</x:v>
      </x:c>
      <x:c r="P60" s="15" t="n">
        <x:v>0.26</x:v>
      </x:c>
      <x:c r="Q60" s="3" t="str">
        <x:v>Unclear prompt</x:v>
      </x:c>
    </x:row>
    <x:row r="61" ht="23" customHeight="1">
      <x:c r="A61" s="3" t="str">
        <x:v>W0055</x:v>
      </x:c>
      <x:c r="B61" s="13" t="n">
        <x:v>46275</x:v>
      </x:c>
      <x:c r="C61" s="3" t="str">
        <x:v>Campaign 1</x:v>
      </x:c>
      <x:c r="D61" s="3" t="str">
        <x:v>Analytics</x:v>
      </x:c>
      <x:c r="E61" s="3" t="str">
        <x:v>Quinn Parker</x:v>
      </x:c>
      <x:c r="F61" s="3" t="str">
        <x:v>InsightDesk</x:v>
      </x:c>
      <x:c r="G61" s="3" t="str">
        <x:v>Pro</x:v>
      </x:c>
      <x:c r="H61" s="3" t="str">
        <x:v>Analyze campaign results</x:v>
      </x:c>
      <x:c r="I61" s="14" t="n">
        <x:v>10</x:v>
      </x:c>
      <x:c r="J61" s="14" t="n">
        <x:v>115681</x:v>
      </x:c>
      <x:c r="K61" s="14" t="n">
        <x:v>97308</x:v>
      </x:c>
      <x:c r="L61" s="14" t="n">
        <x:v>40</x:v>
      </x:c>
      <x:c r="M61" s="14" t="n">
        <x:v>100</x:v>
      </x:c>
      <x:c r="N61" s="15" t="n">
        <x:v>4.68</x:v>
      </x:c>
      <x:c r="O61" s="15" t="n">
        <x:v>1.64</x:v>
      </x:c>
      <x:c r="P61" s="15" t="n">
        <x:v>0.11</x:v>
      </x:c>
      <x:c r="Q61" s="3" t="str">
        <x:v>None</x:v>
      </x:c>
    </x:row>
    <x:row r="62" ht="23" customHeight="1">
      <x:c r="A62" s="3" t="str">
        <x:v>W0056</x:v>
      </x:c>
      <x:c r="B62" s="13" t="n">
        <x:v>46286</x:v>
      </x:c>
      <x:c r="C62" s="3" t="str">
        <x:v>Campaign 1</x:v>
      </x:c>
      <x:c r="D62" s="3" t="str">
        <x:v>Analytics</x:v>
      </x:c>
      <x:c r="E62" s="3" t="str">
        <x:v>Jamie Patel</x:v>
      </x:c>
      <x:c r="F62" s="3" t="str">
        <x:v>InsightDesk</x:v>
      </x:c>
      <x:c r="G62" s="3" t="str">
        <x:v>Lite</x:v>
      </x:c>
      <x:c r="H62" s="3" t="str">
        <x:v>Summarize audience insights</x:v>
      </x:c>
      <x:c r="I62" s="14" t="n">
        <x:v>10</x:v>
      </x:c>
      <x:c r="J62" s="14" t="n">
        <x:v>380867</x:v>
      </x:c>
      <x:c r="K62" s="14" t="n">
        <x:v>90740</x:v>
      </x:c>
      <x:c r="L62" s="14" t="n">
        <x:v>10</x:v>
      </x:c>
      <x:c r="M62" s="14" t="n">
        <x:v>30</x:v>
      </x:c>
      <x:c r="N62" s="15" t="n">
        <x:v>3.05</x:v>
      </x:c>
      <x:c r="O62" s="15" t="n">
        <x:v>1.46</x:v>
      </x:c>
      <x:c r="P62" s="15" t="n">
        <x:v>0.18</x:v>
      </x:c>
      <x:c r="Q62" s="3" t="str">
        <x:v>Data problem</x:v>
      </x:c>
    </x:row>
    <x:row r="63" ht="23" customHeight="1">
      <x:c r="A63" s="3" t="str">
        <x:v>W0057</x:v>
      </x:c>
      <x:c r="B63" s="13" t="n">
        <x:v>46295</x:v>
      </x:c>
      <x:c r="C63" s="3" t="str">
        <x:v>Campaign 1</x:v>
      </x:c>
      <x:c r="D63" s="3" t="str">
        <x:v>Content</x:v>
      </x:c>
      <x:c r="E63" s="3" t="str">
        <x:v>Avery Morgan</x:v>
      </x:c>
      <x:c r="F63" s="3" t="str">
        <x:v>DataFlow</x:v>
      </x:c>
      <x:c r="G63" s="3" t="str">
        <x:v>Lite</x:v>
      </x:c>
      <x:c r="H63" s="3" t="str">
        <x:v>Edit landing page</x:v>
      </x:c>
      <x:c r="I63" s="14" t="n">
        <x:v>11</x:v>
      </x:c>
      <x:c r="J63" s="14" t="n">
        <x:v>271142</x:v>
      </x:c>
      <x:c r="K63" s="14" t="n">
        <x:v>51315</x:v>
      </x:c>
      <x:c r="L63" s="14" t="n">
        <x:v>10</x:v>
      </x:c>
      <x:c r="M63" s="14" t="n">
        <x:v>30</x:v>
      </x:c>
      <x:c r="N63" s="15" t="n">
        <x:v>4.97</x:v>
      </x:c>
      <x:c r="O63" s="15" t="n">
        <x:v>2.97</x:v>
      </x:c>
      <x:c r="P63" s="15" t="n">
        <x:v>0.09</x:v>
      </x:c>
      <x:c r="Q63" s="3" t="str">
        <x:v>None</x:v>
      </x:c>
    </x:row>
    <x:row r="64" ht="23" customHeight="1">
      <x:c r="A64" s="3" t="str">
        <x:v>W0058</x:v>
      </x:c>
      <x:c r="B64" s="13" t="n">
        <x:v>46280</x:v>
      </x:c>
      <x:c r="C64" s="3" t="str">
        <x:v>Campaign 1</x:v>
      </x:c>
      <x:c r="D64" s="3" t="str">
        <x:v>Content</x:v>
      </x:c>
      <x:c r="E64" s="3" t="str">
        <x:v>Jordan Ellis</x:v>
      </x:c>
      <x:c r="F64" s="3" t="str">
        <x:v>CopyStudio</x:v>
      </x:c>
      <x:c r="G64" s="3" t="str">
        <x:v>Lite</x:v>
      </x:c>
      <x:c r="H64" s="3" t="str">
        <x:v>Write ad copy</x:v>
      </x:c>
      <x:c r="I64" s="14" t="n">
        <x:v>8</x:v>
      </x:c>
      <x:c r="J64" s="14" t="n">
        <x:v>229722</x:v>
      </x:c>
      <x:c r="K64" s="14" t="n">
        <x:v>46429</x:v>
      </x:c>
      <x:c r="L64" s="14" t="n">
        <x:v>10</x:v>
      </x:c>
      <x:c r="M64" s="14" t="n">
        <x:v>30</x:v>
      </x:c>
      <x:c r="N64" s="15" t="n">
        <x:v>3.99</x:v>
      </x:c>
      <x:c r="O64" s="15" t="n">
        <x:v>2.13</x:v>
      </x:c>
      <x:c r="P64" s="15" t="n">
        <x:v>0.42</x:v>
      </x:c>
      <x:c r="Q64" s="3" t="str">
        <x:v>Data problem</x:v>
      </x:c>
    </x:row>
    <x:row r="65" ht="23" customHeight="1">
      <x:c r="A65" s="3" t="str">
        <x:v>W0059</x:v>
      </x:c>
      <x:c r="B65" s="13" t="n">
        <x:v>46289</x:v>
      </x:c>
      <x:c r="C65" s="3" t="str">
        <x:v>Campaign 1</x:v>
      </x:c>
      <x:c r="D65" s="3" t="str">
        <x:v>Creative</x:v>
      </x:c>
      <x:c r="E65" s="3" t="str">
        <x:v>Riley Chen</x:v>
      </x:c>
      <x:c r="F65" s="3" t="str">
        <x:v>CampaignChat</x:v>
      </x:c>
      <x:c r="G65" s="3" t="str">
        <x:v>Lite</x:v>
      </x:c>
      <x:c r="H65" s="3" t="str">
        <x:v>Review creative variants</x:v>
      </x:c>
      <x:c r="I65" s="14" t="n">
        <x:v>12</x:v>
      </x:c>
      <x:c r="J65" s="14" t="n">
        <x:v>368076</x:v>
      </x:c>
      <x:c r="K65" s="14" t="n">
        <x:v>60369</x:v>
      </x:c>
      <x:c r="L65" s="14" t="n">
        <x:v>10</x:v>
      </x:c>
      <x:c r="M65" s="14" t="n">
        <x:v>30</x:v>
      </x:c>
      <x:c r="N65" s="15" t="n">
        <x:v>4.03</x:v>
      </x:c>
      <x:c r="O65" s="15" t="n">
        <x:v>2</x:v>
      </x:c>
      <x:c r="P65" s="15" t="n">
        <x:v>0.25</x:v>
      </x:c>
      <x:c r="Q65" s="3" t="str">
        <x:v>Unclear prompt</x:v>
      </x:c>
    </x:row>
    <x:row r="66" ht="23" customHeight="1">
      <x:c r="A66" s="3" t="str">
        <x:v>W0060</x:v>
      </x:c>
      <x:c r="B66" s="13" t="n">
        <x:v>46274</x:v>
      </x:c>
      <x:c r="C66" s="3" t="str">
        <x:v>Campaign 1</x:v>
      </x:c>
      <x:c r="D66" s="3" t="str">
        <x:v>Creative</x:v>
      </x:c>
      <x:c r="E66" s="3" t="str">
        <x:v>Taylor Brooks</x:v>
      </x:c>
      <x:c r="F66" s="3" t="str">
        <x:v>CampaignChat</x:v>
      </x:c>
      <x:c r="G66" s="3" t="str">
        <x:v>Lite</x:v>
      </x:c>
      <x:c r="H66" s="3" t="str">
        <x:v>Plan visual narrative</x:v>
      </x:c>
      <x:c r="I66" s="14" t="n">
        <x:v>10</x:v>
      </x:c>
      <x:c r="J66" s="14" t="n">
        <x:v>246848</x:v>
      </x:c>
      <x:c r="K66" s="14" t="n">
        <x:v>109912</x:v>
      </x:c>
      <x:c r="L66" s="14" t="n">
        <x:v>10</x:v>
      </x:c>
      <x:c r="M66" s="14" t="n">
        <x:v>30</x:v>
      </x:c>
      <x:c r="N66" s="15" t="n">
        <x:v>3.62</x:v>
      </x:c>
      <x:c r="O66" s="15" t="n">
        <x:v>1.71</x:v>
      </x:c>
      <x:c r="P66" s="15" t="n">
        <x:v>0.09</x:v>
      </x:c>
      <x:c r="Q66" s="3" t="str">
        <x:v>Brief changed</x:v>
      </x:c>
    </x:row>
    <x:row r="67" ht="23" customHeight="1">
      <x:c r="A67" s="3" t="str">
        <x:v>W0061</x:v>
      </x:c>
      <x:c r="B67" s="13" t="n">
        <x:v>46280</x:v>
      </x:c>
      <x:c r="C67" s="3" t="str">
        <x:v>Campaign 2</x:v>
      </x:c>
      <x:c r="D67" s="3" t="str">
        <x:v>Content</x:v>
      </x:c>
      <x:c r="E67" s="3" t="str">
        <x:v>Jordan Ellis</x:v>
      </x:c>
      <x:c r="F67" s="3" t="str">
        <x:v>CopyStudio</x:v>
      </x:c>
      <x:c r="G67" s="3" t="str">
        <x:v>Lite</x:v>
      </x:c>
      <x:c r="H67" s="3" t="str">
        <x:v>Write ad copy</x:v>
      </x:c>
      <x:c r="I67" s="14" t="n">
        <x:v>12</x:v>
      </x:c>
      <x:c r="J67" s="14" t="n">
        <x:v>506853</x:v>
      </x:c>
      <x:c r="K67" s="14" t="n">
        <x:v>82438</x:v>
      </x:c>
      <x:c r="L67" s="14" t="n">
        <x:v>10</x:v>
      </x:c>
      <x:c r="M67" s="14" t="n">
        <x:v>30</x:v>
      </x:c>
      <x:c r="N67" s="15" t="n">
        <x:v>4.09</x:v>
      </x:c>
      <x:c r="O67" s="15" t="n">
        <x:v>2.7</x:v>
      </x:c>
      <x:c r="P67" s="15" t="n">
        <x:v>0.46</x:v>
      </x:c>
      <x:c r="Q67" s="3" t="str">
        <x:v>None</x:v>
      </x:c>
    </x:row>
    <x:row r="68" ht="23" customHeight="1">
      <x:c r="A68" s="3" t="str">
        <x:v>W0062</x:v>
      </x:c>
      <x:c r="B68" s="13" t="n">
        <x:v>46289</x:v>
      </x:c>
      <x:c r="C68" s="3" t="str">
        <x:v>Campaign 2</x:v>
      </x:c>
      <x:c r="D68" s="3" t="str">
        <x:v>  creative </x:v>
      </x:c>
      <x:c r="E68" s="3" t="str">
        <x:v>Riley Chen</x:v>
      </x:c>
      <x:c r="F68" s="3" t="str">
        <x:v>CampaignChat</x:v>
      </x:c>
      <x:c r="G68" s="3" t="str">
        <x:v>Pro</x:v>
      </x:c>
      <x:c r="H68" s="3" t="str">
        <x:v>Review creative variants</x:v>
      </x:c>
      <x:c r="I68" s="14" t="n">
        <x:v>16</x:v>
      </x:c>
      <x:c r="J68" s="14" t="n">
        <x:v>216307</x:v>
      </x:c>
      <x:c r="K68" s="14" t="n">
        <x:v>112052</x:v>
      </x:c>
      <x:c r="L68" s="14" t="n">
        <x:v>40</x:v>
      </x:c>
      <x:c r="M68" s="14" t="n">
        <x:v>100</x:v>
      </x:c>
      <x:c r="N68" s="15" t="n">
        <x:v>2.82</x:v>
      </x:c>
      <x:c r="O68" s="15" t="n">
        <x:v>1.72</x:v>
      </x:c>
      <x:c r="P68" s="15" t="n">
        <x:v>0.69</x:v>
      </x:c>
      <x:c r="Q68" s="3" t="str">
        <x:v>Brief changed</x:v>
      </x:c>
    </x:row>
    <x:row r="69" ht="23" customHeight="1">
      <x:c r="A69" s="3" t="str">
        <x:v>W0063</x:v>
      </x:c>
      <x:c r="B69" s="13" t="n">
        <x:v>46274</x:v>
      </x:c>
      <x:c r="C69" s="3" t="str">
        <x:v>Campaign 2</x:v>
      </x:c>
      <x:c r="D69" s="3" t="str">
        <x:v>Creative</x:v>
      </x:c>
      <x:c r="E69" s="3" t="str">
        <x:v>Taylor Brooks</x:v>
      </x:c>
      <x:c r="F69" s="3" t="str">
        <x:v>CampaignChat</x:v>
      </x:c>
      <x:c r="G69" s="3" t="str">
        <x:v>Lite</x:v>
      </x:c>
      <x:c r="H69" s="3" t="str">
        <x:v>Plan visual narrative</x:v>
      </x:c>
      <x:c r="I69" s="14" t="n">
        <x:v>16</x:v>
      </x:c>
      <x:c r="J69" s="14" t="n">
        <x:v>681801</x:v>
      </x:c>
      <x:c r="K69" s="14" t="n">
        <x:v>121329</x:v>
      </x:c>
      <x:c r="L69" s="14" t="n">
        <x:v>10</x:v>
      </x:c>
      <x:c r="M69" s="14" t="n">
        <x:v>30</x:v>
      </x:c>
      <x:c r="N69" s="15" t="n">
        <x:v>2.43</x:v>
      </x:c>
      <x:c r="O69" s="15" t="n">
        <x:v>1.49</x:v>
      </x:c>
      <x:c r="P69" s="15" t="n">
        <x:v>0.2</x:v>
      </x:c>
      <x:c r="Q69" s="3" t="str">
        <x:v>None</x:v>
      </x:c>
    </x:row>
    <x:row r="70" ht="23" customHeight="1">
      <x:c r="A70" s="3" t="str">
        <x:v>W0064</x:v>
      </x:c>
      <x:c r="B70" s="13" t="n">
        <x:v>46283</x:v>
      </x:c>
      <x:c r="C70" s="3" t="str">
        <x:v>Campaign 2</x:v>
      </x:c>
      <x:c r="D70" s="3" t="str">
        <x:v>Marketing Operations</x:v>
      </x:c>
      <x:c r="E70" s="3" t="str">
        <x:v>Casey Rivera</x:v>
      </x:c>
      <x:c r="F70" s="3" t="str">
        <x:v>DataFlow</x:v>
      </x:c>
      <x:c r="G70" s="3" t="str">
        <x:v>Lite</x:v>
      </x:c>
      <x:c r="H70" s="3" t="str">
        <x:v>Build campaign plan</x:v>
      </x:c>
      <x:c r="I70" s="14" t="n">
        <x:v>16</x:v>
      </x:c>
      <x:c r="J70" s="14" t="n">
        <x:v>543371</x:v>
      </x:c>
      <x:c r="K70" s="14" t="n">
        <x:v>88841</x:v>
      </x:c>
      <x:c r="L70" s="14" t="n">
        <x:v>10</x:v>
      </x:c>
      <x:c r="M70" s="14" t="n">
        <x:v>30</x:v>
      </x:c>
      <x:c r="N70" s="15" t="n">
        <x:v>2.53</x:v>
      </x:c>
      <x:c r="O70" s="15" t="n">
        <x:v>1.18</x:v>
      </x:c>
      <x:c r="P70" s="15" t="n">
        <x:v>0.27</x:v>
      </x:c>
      <x:c r="Q70" s="3" t="str">
        <x:v>None</x:v>
      </x:c>
    </x:row>
    <x:row r="71" ht="23" customHeight="1">
      <x:c r="A71" s="3" t="str">
        <x:v>W0065</x:v>
      </x:c>
      <x:c r="B71" s="13" t="n">
        <x:v>46294</x:v>
      </x:c>
      <x:c r="C71" s="3" t="str">
        <x:v>Campaign 2</x:v>
      </x:c>
      <x:c r="D71" s="3" t="str">
        <x:v>Marketing Operations</x:v>
      </x:c>
      <x:c r="E71" s="3" t="str">
        <x:v>Morgan Reed</x:v>
      </x:c>
      <x:c r="F71" s="3" t="str">
        <x:v>DataFlow</x:v>
      </x:c>
      <x:c r="G71" s="3" t="str">
        <x:v>Pro</x:v>
      </x:c>
      <x:c r="H71" s="3" t="str">
        <x:v>Clean audience data</x:v>
      </x:c>
      <x:c r="I71" s="14" t="n">
        <x:v>14</x:v>
      </x:c>
      <x:c r="J71" s="14" t="n">
        <x:v>318993</x:v>
      </x:c>
      <x:c r="K71" s="14" t="n">
        <x:v>196673</x:v>
      </x:c>
      <x:c r="L71" s="14" t="n">
        <x:v>40</x:v>
      </x:c>
      <x:c r="M71" s="14" t="n">
        <x:v>100</x:v>
      </x:c>
      <x:c r="N71" s="15" t="n">
        <x:v>2.84</x:v>
      </x:c>
      <x:c r="O71" s="15" t="n">
        <x:v>1.47</x:v>
      </x:c>
      <x:c r="P71" s="15" t="n">
        <x:v>0.67</x:v>
      </x:c>
      <x:c r="Q71" s="3" t="str">
        <x:v>Brief changed</x:v>
      </x:c>
    </x:row>
    <x:row r="72" ht="23" customHeight="1">
      <x:c r="A72" s="3" t="str">
        <x:v>W0066</x:v>
      </x:c>
      <x:c r="B72" s="13" t="n">
        <x:v>46279</x:v>
      </x:c>
      <x:c r="C72" s="3" t="str">
        <x:v>Campaign 2</x:v>
      </x:c>
      <x:c r="D72" s="3" t="str">
        <x:v>Analytics</x:v>
      </x:c>
      <x:c r="E72" s="3" t="str">
        <x:v>Quinn Parker</x:v>
      </x:c>
      <x:c r="F72" s="3" t="str">
        <x:v>DataFlow</x:v>
      </x:c>
      <x:c r="G72" s="3" t="str">
        <x:v>Pro</x:v>
      </x:c>
      <x:c r="H72" s="3" t="str">
        <x:v>Check measurement plan</x:v>
      </x:c>
      <x:c r="I72" s="14" t="n">
        <x:v>11</x:v>
      </x:c>
      <x:c r="J72" s="14" t="n">
        <x:v>294158</x:v>
      </x:c>
      <x:c r="K72" s="14" t="n">
        <x:v>115484</x:v>
      </x:c>
      <x:c r="L72" s="14" t="n">
        <x:v>40</x:v>
      </x:c>
      <x:c r="M72" s="14" t="n">
        <x:v>100</x:v>
      </x:c>
      <x:c r="N72" s="15" t="n">
        <x:v>2.83</x:v>
      </x:c>
      <x:c r="O72" s="15" t="n">
        <x:v>1.87</x:v>
      </x:c>
      <x:c r="P72" s="15" t="n">
        <x:v>0.42</x:v>
      </x:c>
      <x:c r="Q72" s="3" t="str">
        <x:v>Brief changed</x:v>
      </x:c>
    </x:row>
    <x:row r="73" ht="23" customHeight="1">
      <x:c r="A73" s="3" t="str">
        <x:v>W0067</x:v>
      </x:c>
      <x:c r="B73" s="13" t="n">
        <x:v>46288</x:v>
      </x:c>
      <x:c r="C73" s="3" t="str">
        <x:v>Campaign 2</x:v>
      </x:c>
      <x:c r="D73" s="3" t="str">
        <x:v>Analytics</x:v>
      </x:c>
      <x:c r="E73" s="3" t="str">
        <x:v>Jamie Patel</x:v>
      </x:c>
      <x:c r="F73" s="3" t="str">
        <x:v>InsightDesk</x:v>
      </x:c>
      <x:c r="G73" s="3" t="str">
        <x:v>Pro</x:v>
      </x:c>
      <x:c r="H73" s="3" t="str">
        <x:v>Analyze campaign results</x:v>
      </x:c>
      <x:c r="I73" s="14" t="n">
        <x:v>16</x:v>
      </x:c>
      <x:c r="J73" s="14" t="n">
        <x:v>448703</x:v>
      </x:c>
      <x:c r="K73" s="14" t="n">
        <x:v>217814</x:v>
      </x:c>
      <x:c r="L73" s="14" t="n">
        <x:v>40</x:v>
      </x:c>
      <x:c r="M73" s="14" t="n">
        <x:v>100</x:v>
      </x:c>
      <x:c r="N73" s="15" t="n">
        <x:v>4.38</x:v>
      </x:c>
      <x:c r="O73" s="15" t="n">
        <x:v>2.43</x:v>
      </x:c>
      <x:c r="P73" s="15" t="n">
        <x:v>0.78</x:v>
      </x:c>
      <x:c r="Q73" s="3" t="str">
        <x:v>Data problem</x:v>
      </x:c>
    </x:row>
    <x:row r="74" ht="23" customHeight="1">
      <x:c r="A74" s="3" t="str">
        <x:v>W0068</x:v>
      </x:c>
      <x:c r="B74" s="13" t="n">
        <x:v>46273</x:v>
      </x:c>
      <x:c r="C74" s="3" t="str">
        <x:v>Campaign 2</x:v>
      </x:c>
      <x:c r="D74" s="3" t="str">
        <x:v>Content</x:v>
      </x:c>
      <x:c r="E74" s="3" t="str">
        <x:v>Avery Morgan</x:v>
      </x:c>
      <x:c r="F74" s="3" t="str">
        <x:v>CopyStudio</x:v>
      </x:c>
      <x:c r="G74" s="3" t="str">
        <x:v>Pro</x:v>
      </x:c>
      <x:c r="H74" s="3" t="str">
        <x:v>Draft email sequence</x:v>
      </x:c>
      <x:c r="I74" s="14" t="n">
        <x:v>14</x:v>
      </x:c>
      <x:c r="J74" s="14" t="n">
        <x:v>168930</x:v>
      </x:c>
      <x:c r="K74" s="14" t="n">
        <x:v>115490</x:v>
      </x:c>
      <x:c r="L74" s="14" t="n">
        <x:v>40</x:v>
      </x:c>
      <x:c r="M74" s="14" t="n">
        <x:v>100</x:v>
      </x:c>
      <x:c r="N74" s="15" t="n">
        <x:v>3.08</x:v>
      </x:c>
      <x:c r="O74" s="15" t="n">
        <x:v>1.93</x:v>
      </x:c>
      <x:c r="P74" s="15" t="n">
        <x:v>0.43</x:v>
      </x:c>
      <x:c r="Q74" s="3" t="str">
        <x:v>None</x:v>
      </x:c>
    </x:row>
    <x:row r="75" ht="23" customHeight="1">
      <x:c r="A75" s="3" t="str">
        <x:v>W0069</x:v>
      </x:c>
      <x:c r="B75" s="13" t="n">
        <x:v>46282</x:v>
      </x:c>
      <x:c r="C75" s="3" t="str">
        <x:v>Campaign 2</x:v>
      </x:c>
      <x:c r="D75" s="3" t="str">
        <x:v>Content</x:v>
      </x:c>
      <x:c r="E75" s="3" t="str">
        <x:v>Jordan Ellis</x:v>
      </x:c>
      <x:c r="F75" s="3" t="str">
        <x:v>CopyStudio</x:v>
      </x:c>
      <x:c r="G75" s="3" t="str">
        <x:v>Pro</x:v>
      </x:c>
      <x:c r="H75" s="3" t="str">
        <x:v>Edit landing page</x:v>
      </x:c>
      <x:c r="I75" s="14" t="n">
        <x:v>15</x:v>
      </x:c>
      <x:c r="J75" s="14" t="n">
        <x:v>197601</x:v>
      </x:c>
      <x:c r="K75" s="14" t="n">
        <x:v>118615</x:v>
      </x:c>
      <x:c r="L75" s="14" t="n">
        <x:v>40</x:v>
      </x:c>
      <x:c r="M75" s="14" t="n">
        <x:v>100</x:v>
      </x:c>
      <x:c r="N75" s="15" t="n">
        <x:v>3.45</x:v>
      </x:c>
      <x:c r="O75" s="15" t="n">
        <x:v>1.43</x:v>
      </x:c>
      <x:c r="P75" s="15" t="n">
        <x:v>0.68</x:v>
      </x:c>
      <x:c r="Q75" s="3" t="str">
        <x:v>Brief changed</x:v>
      </x:c>
    </x:row>
    <x:row r="76" ht="23" customHeight="1">
      <x:c r="A76" s="3" t="str">
        <x:v>W0070</x:v>
      </x:c>
      <x:c r="B76" s="13" t="n">
        <x:v>46293</x:v>
      </x:c>
      <x:c r="C76" s="3" t="str">
        <x:v>Campaign 2</x:v>
      </x:c>
      <x:c r="D76" s="3" t="str">
        <x:v>Creative</x:v>
      </x:c>
      <x:c r="E76" s="3" t="str">
        <x:v>Riley Chen</x:v>
      </x:c>
      <x:c r="F76" s="3" t="str">
        <x:v>CampaignChat</x:v>
      </x:c>
      <x:c r="G76" s="3" t="str">
        <x:v>Pro</x:v>
      </x:c>
      <x:c r="H76" s="3" t="str">
        <x:v>Develop concept brief</x:v>
      </x:c>
      <x:c r="I76" s="14" t="n">
        <x:v>11</x:v>
      </x:c>
      <x:c r="J76" s="14" t="n">
        <x:v>133133</x:v>
      </x:c>
      <x:c r="K76" s="14" t="n">
        <x:v>80884</x:v>
      </x:c>
      <x:c r="L76" s="14" t="n">
        <x:v>40</x:v>
      </x:c>
      <x:c r="M76" s="14" t="n">
        <x:v>100</x:v>
      </x:c>
      <x:c r="N76" s="15" t="n">
        <x:v>3.35</x:v>
      </x:c>
      <x:c r="O76" s="15" t="n">
        <x:v>1.73</x:v>
      </x:c>
      <x:c r="P76" s="15" t="n">
        <x:v>0.71</x:v>
      </x:c>
      <x:c r="Q76" s="3" t="str">
        <x:v>Brief changed</x:v>
      </x:c>
    </x:row>
    <x:row r="77" ht="23" customHeight="1">
      <x:c r="A77" s="3" t="str">
        <x:v>W0071</x:v>
      </x:c>
      <x:c r="B77" s="13" t="n">
        <x:v>46276</x:v>
      </x:c>
      <x:c r="C77" s="3" t="str">
        <x:v>Campaign 2</x:v>
      </x:c>
      <x:c r="D77" s="3" t="str">
        <x:v>Creative</x:v>
      </x:c>
      <x:c r="E77" s="3" t="str">
        <x:v>Taylor Brooks</x:v>
      </x:c>
      <x:c r="F77" s="3" t="str">
        <x:v>CampaignChat</x:v>
      </x:c>
      <x:c r="G77" s="3" t="str">
        <x:v>Lite</x:v>
      </x:c>
      <x:c r="H77" s="3" t="str">
        <x:v>Review creative variants</x:v>
      </x:c>
      <x:c r="I77" s="14" t="n">
        <x:v>20</x:v>
      </x:c>
      <x:c r="J77" s="14" t="n">
        <x:v>674195</x:v>
      </x:c>
      <x:c r="K77" s="14" t="n">
        <x:v>181933</x:v>
      </x:c>
      <x:c r="L77" s="14" t="n">
        <x:v>10</x:v>
      </x:c>
      <x:c r="M77" s="14" t="n">
        <x:v>30</x:v>
      </x:c>
      <x:c r="N77" s="15" t="n">
        <x:v>2.28</x:v>
      </x:c>
      <x:c r="O77" s="15" t="n">
        <x:v>2.68</x:v>
      </x:c>
      <x:c r="P77" s="15" t="n">
        <x:v>0.36</x:v>
      </x:c>
      <x:c r="Q77" s="3" t="str">
        <x:v>None</x:v>
      </x:c>
    </x:row>
    <x:row r="78" ht="23" customHeight="1">
      <x:c r="A78" s="3" t="str">
        <x:v>W0072</x:v>
      </x:c>
      <x:c r="B78" s="13" t="n">
        <x:v>46287</x:v>
      </x:c>
      <x:c r="C78" s="3" t="str">
        <x:v>Campaign 2</x:v>
      </x:c>
      <x:c r="D78" s="3" t="str">
        <x:v>Marketing Operations</x:v>
      </x:c>
      <x:c r="E78" s="3" t="str">
        <x:v>Casey Rivera</x:v>
      </x:c>
      <x:c r="F78" s="3" t="str">
        <x:v>CopyStudio</x:v>
      </x:c>
      <x:c r="G78" s="3" t="str">
        <x:v>Lite</x:v>
      </x:c>
      <x:c r="H78" s="3" t="str">
        <x:v>Prepare launch checklist</x:v>
      </x:c>
      <x:c r="I78" s="14" t="n">
        <x:v>29</x:v>
      </x:c>
      <x:c r="J78" s="14" t="n">
        <x:v>808449</x:v>
      </x:c>
      <x:c r="K78" s="14" t="n">
        <x:v>117056</x:v>
      </x:c>
      <x:c r="L78" s="14" t="n">
        <x:v>10</x:v>
      </x:c>
      <x:c r="M78" s="14" t="n">
        <x:v>30</x:v>
      </x:c>
      <x:c r="N78" s="15" t="n">
        <x:v>2.99</x:v>
      </x:c>
      <x:c r="O78" s="15" t="n">
        <x:v>4.03</x:v>
      </x:c>
      <x:c r="P78" s="15" t="n">
        <x:v>1.43</x:v>
      </x:c>
      <x:c r="Q78" s="3" t="str">
        <x:v>Unclear prompt</x:v>
      </x:c>
    </x:row>
    <x:row r="79" ht="23" customHeight="1">
      <x:c r="A79" s="3" t="str">
        <x:v>W0073</x:v>
      </x:c>
      <x:c r="B79" s="13" t="n">
        <x:v>46269</x:v>
      </x:c>
      <x:c r="C79" s="3" t="str">
        <x:v>Campaign 2</x:v>
      </x:c>
      <x:c r="D79" s="3" t="str">
        <x:v>Marketing Operations</x:v>
      </x:c>
      <x:c r="E79" s="3" t="str">
        <x:v>Morgan Reed</x:v>
      </x:c>
      <x:c r="F79" s="3" t="str">
        <x:v>DataFlow</x:v>
      </x:c>
      <x:c r="G79" s="3" t="str">
        <x:v>Lite</x:v>
      </x:c>
      <x:c r="H79" s="3" t="str">
        <x:v>Build campaign plan</x:v>
      </x:c>
      <x:c r="I79" s="14" t="n">
        <x:v>23</x:v>
      </x:c>
      <x:c r="J79" s="14" t="n">
        <x:v>1003562</x:v>
      </x:c>
      <x:c r="K79" s="14" t="n">
        <x:v>128037</x:v>
      </x:c>
      <x:c r="L79" s="14" t="n">
        <x:v>10</x:v>
      </x:c>
      <x:c r="M79" s="14" t="n">
        <x:v>30</x:v>
      </x:c>
      <x:c r="N79" s="15" t="n">
        <x:v>3.1</x:v>
      </x:c>
      <x:c r="O79" s="15" t="n">
        <x:v>5.22</x:v>
      </x:c>
      <x:c r="P79" s="15" t="n">
        <x:v>1.35</x:v>
      </x:c>
      <x:c r="Q79" s="3" t="str">
        <x:v>Data problem</x:v>
      </x:c>
    </x:row>
    <x:row r="80" ht="23" customHeight="1">
      <x:c r="A80" s="3" t="str">
        <x:v>W0074</x:v>
      </x:c>
      <x:c r="B80" s="13" t="n">
        <x:v>46281</x:v>
      </x:c>
      <x:c r="C80" s="3" t="str">
        <x:v>Campaign 2</x:v>
      </x:c>
      <x:c r="D80" s="3" t="str">
        <x:v>Analytics</x:v>
      </x:c>
      <x:c r="E80" s="3" t="str">
        <x:v>Quinn Parker</x:v>
      </x:c>
      <x:c r="F80" s="3" t="str">
        <x:v>InsightDesk</x:v>
      </x:c>
      <x:c r="G80" s="3" t="str">
        <x:v>Pro</x:v>
      </x:c>
      <x:c r="H80" s="3" t="str">
        <x:v>Summarize audience insights</x:v>
      </x:c>
      <x:c r="I80" s="14" t="n">
        <x:v>18</x:v>
      </x:c>
      <x:c r="J80" s="14" t="n">
        <x:v>503772</x:v>
      </x:c>
      <x:c r="K80" s="14" t="n">
        <x:v>125364</x:v>
      </x:c>
      <x:c r="L80" s="14" t="n">
        <x:v>40</x:v>
      </x:c>
      <x:c r="M80" s="14" t="n">
        <x:v>100</x:v>
      </x:c>
      <x:c r="N80" s="15" t="n">
        <x:v>3.75</x:v>
      </x:c>
      <x:c r="O80" s="15" t="n">
        <x:v>6.7</x:v>
      </x:c>
      <x:c r="P80" s="15" t="n">
        <x:v>2.48</x:v>
      </x:c>
      <x:c r="Q80" s="3" t="str">
        <x:v>Unclear prompt</x:v>
      </x:c>
    </x:row>
    <x:row r="81" ht="23" customHeight="1">
      <x:c r="A81" s="3" t="str">
        <x:v>W0075</x:v>
      </x:c>
      <x:c r="B81" s="13" t="n">
        <x:v>46290</x:v>
      </x:c>
      <x:c r="C81" s="3" t="str">
        <x:v>Campaign 2</x:v>
      </x:c>
      <x:c r="D81" s="3" t="str">
        <x:v>Analytics</x:v>
      </x:c>
      <x:c r="E81" s="3" t="str">
        <x:v>Jamie Patel</x:v>
      </x:c>
      <x:c r="F81" s="3" t="str">
        <x:v>InsightDesk</x:v>
      </x:c>
      <x:c r="G81" s="3" t="str">
        <x:v>Lite</x:v>
      </x:c>
      <x:c r="H81" s="3" t="str">
        <x:v>Check measurement plan</x:v>
      </x:c>
      <x:c r="I81" s="14" t="n">
        <x:v>21</x:v>
      </x:c>
      <x:c r="J81" s="14" t="n">
        <x:v>431332</x:v>
      </x:c>
      <x:c r="K81" s="14" t="n">
        <x:v>104650</x:v>
      </x:c>
      <x:c r="L81" s="14" t="n">
        <x:v>10</x:v>
      </x:c>
      <x:c r="M81" s="14" t="n">
        <x:v>30</x:v>
      </x:c>
      <x:c r="N81" s="15" t="n">
        <x:v>3.56</x:v>
      </x:c>
      <x:c r="O81" s="15" t="n">
        <x:v>4.09</x:v>
      </x:c>
      <x:c r="P81" s="15" t="n">
        <x:v>1.32</x:v>
      </x:c>
      <x:c r="Q81" s="3" t="str">
        <x:v>Brief changed</x:v>
      </x:c>
    </x:row>
    <x:row r="82" ht="23" customHeight="1">
      <x:c r="A82" s="3" t="str">
        <x:v>W0076</x:v>
      </x:c>
      <x:c r="B82" s="13" t="n">
        <x:v>46275</x:v>
      </x:c>
      <x:c r="C82" s="3" t="str">
        <x:v>Campaign 2</x:v>
      </x:c>
      <x:c r="D82" s="3" t="str">
        <x:v>Content</x:v>
      </x:c>
      <x:c r="E82" s="3" t="str">
        <x:v>Avery Morgan</x:v>
      </x:c>
      <x:c r="F82" s="3" t="str">
        <x:v>CopyStudio</x:v>
      </x:c>
      <x:c r="G82" s="3" t="str">
        <x:v>Lite</x:v>
      </x:c>
      <x:c r="H82" s="3" t="str">
        <x:v>Write ad copy</x:v>
      </x:c>
      <x:c r="I82" s="14" t="n">
        <x:v>15</x:v>
      </x:c>
      <x:c r="J82" s="14" t="n">
        <x:v>480572</x:v>
      </x:c>
      <x:c r="K82" s="14" t="n">
        <x:v>141865</x:v>
      </x:c>
      <x:c r="L82" s="14" t="n">
        <x:v>10</x:v>
      </x:c>
      <x:c r="M82" s="14" t="n">
        <x:v>30</x:v>
      </x:c>
      <x:c r="N82" s="15" t="n">
        <x:v>2.36</x:v>
      </x:c>
      <x:c r="O82" s="15" t="n">
        <x:v>4.11</x:v>
      </x:c>
      <x:c r="P82" s="15" t="n">
        <x:v>1.49</x:v>
      </x:c>
      <x:c r="Q82" s="3" t="str">
        <x:v>Brief changed</x:v>
      </x:c>
    </x:row>
    <x:row r="83" ht="23" customHeight="1">
      <x:c r="A83" s="3" t="str">
        <x:v>W0077</x:v>
      </x:c>
      <x:c r="B83" s="13" t="n">
        <x:v>46286</x:v>
      </x:c>
      <x:c r="C83" s="3" t="str">
        <x:v>Campaign 2</x:v>
      </x:c>
      <x:c r="D83" s="3" t="str">
        <x:v>Content</x:v>
      </x:c>
      <x:c r="E83" s="3" t="str">
        <x:v>Jordan Ellis</x:v>
      </x:c>
      <x:c r="F83" s="3" t="str">
        <x:v>CampaignChat</x:v>
      </x:c>
      <x:c r="G83" s="3" t="str">
        <x:v>Lite</x:v>
      </x:c>
      <x:c r="H83" s="3" t="str">
        <x:v>Draft email sequence</x:v>
      </x:c>
      <x:c r="I83" s="14" t="n">
        <x:v>20</x:v>
      </x:c>
      <x:c r="J83" s="14" t="n">
        <x:v>745686</x:v>
      </x:c>
      <x:c r="K83" s="14" t="n">
        <x:v>115368</x:v>
      </x:c>
      <x:c r="L83" s="14" t="n">
        <x:v>10</x:v>
      </x:c>
      <x:c r="M83" s="14" t="n">
        <x:v>30</x:v>
      </x:c>
      <x:c r="N83" s="15" t="n">
        <x:v>3.9</x:v>
      </x:c>
      <x:c r="O83" s="15" t="n">
        <x:v>7.34</x:v>
      </x:c>
      <x:c r="P83" s="15" t="n">
        <x:v>2.32</x:v>
      </x:c>
      <x:c r="Q83" s="3" t="str">
        <x:v>Brief changed</x:v>
      </x:c>
    </x:row>
    <x:row r="84" ht="23" customHeight="1">
      <x:c r="A84" s="3" t="str">
        <x:v>W0078</x:v>
      </x:c>
      <x:c r="B84" s="13" t="n">
        <x:v>46295</x:v>
      </x:c>
      <x:c r="C84" s="3" t="str">
        <x:v>Campaign 2</x:v>
      </x:c>
      <x:c r="D84" s="3" t="str">
        <x:v>Creative</x:v>
      </x:c>
      <x:c r="E84" s="3" t="str">
        <x:v>Riley Chen</x:v>
      </x:c>
      <x:c r="F84" s="3" t="str">
        <x:v>CampaignChat</x:v>
      </x:c>
      <x:c r="G84" s="3" t="str">
        <x:v>Lite</x:v>
      </x:c>
      <x:c r="H84" s="3" t="str">
        <x:v>Plan visual narrative</x:v>
      </x:c>
      <x:c r="I84" s="14" t="n">
        <x:v>20</x:v>
      </x:c>
      <x:c r="J84" s="14" t="n">
        <x:v>583031</x:v>
      </x:c>
      <x:c r="K84" s="14" t="n">
        <x:v>127379</x:v>
      </x:c>
      <x:c r="L84" s="14" t="n">
        <x:v>10</x:v>
      </x:c>
      <x:c r="M84" s="14" t="n">
        <x:v>30</x:v>
      </x:c>
      <x:c r="N84" s="15" t="n">
        <x:v>3.17</x:v>
      </x:c>
      <x:c r="O84" s="15" t="n">
        <x:v>4.49</x:v>
      </x:c>
      <x:c r="P84" s="15" t="n">
        <x:v>1.05</x:v>
      </x:c>
      <x:c r="Q84" s="3" t="str">
        <x:v>Unclear prompt</x:v>
      </x:c>
    </x:row>
    <x:row r="85" ht="23" customHeight="1">
      <x:c r="A85" s="3" t="str">
        <x:v>W0079</x:v>
      </x:c>
      <x:c r="B85" s="13" t="n">
        <x:v>46280</x:v>
      </x:c>
      <x:c r="C85" s="3" t="str">
        <x:v>Campaign 2</x:v>
      </x:c>
      <x:c r="D85" s="3" t="str">
        <x:v>Creative</x:v>
      </x:c>
      <x:c r="E85" s="3" t="str">
        <x:v>Taylor Brooks</x:v>
      </x:c>
      <x:c r="F85" s="3" t="str">
        <x:v>CampaignChat</x:v>
      </x:c>
      <x:c r="G85" s="3" t="str">
        <x:v>Pro</x:v>
      </x:c>
      <x:c r="H85" s="3" t="str">
        <x:v>Develop concept brief</x:v>
      </x:c>
      <x:c r="I85" s="14" t="n">
        <x:v>27</x:v>
      </x:c>
      <x:c r="J85" s="14" t="n">
        <x:v>335611</x:v>
      </x:c>
      <x:c r="K85" s="14" t="n">
        <x:v>292135</x:v>
      </x:c>
      <x:c r="L85" s="14" t="n">
        <x:v>40</x:v>
      </x:c>
      <x:c r="M85" s="14" t="n">
        <x:v>100</x:v>
      </x:c>
      <x:c r="N85" s="15" t="n">
        <x:v>4.43</x:v>
      </x:c>
      <x:c r="O85" s="15" t="n">
        <x:v>6.82</x:v>
      </x:c>
      <x:c r="P85" s="15" t="n">
        <x:v>3.24</x:v>
      </x:c>
      <x:c r="Q85" s="3" t="str">
        <x:v>Unclear prompt</x:v>
      </x:c>
    </x:row>
    <x:row r="86" ht="23" customHeight="1">
      <x:c r="A86" s="3" t="str">
        <x:v>W0080</x:v>
      </x:c>
      <x:c r="B86" s="13" t="n">
        <x:v>46289</x:v>
      </x:c>
      <x:c r="C86" s="3" t="str">
        <x:v>Campaign 2</x:v>
      </x:c>
      <x:c r="D86" s="3" t="str">
        <x:v>Marketing Operations</x:v>
      </x:c>
      <x:c r="E86" s="3" t="str">
        <x:v>Casey Rivera</x:v>
      </x:c>
      <x:c r="F86" s="3" t="str">
        <x:v>DataFlow</x:v>
      </x:c>
      <x:c r="G86" s="3" t="str">
        <x:v>Pro</x:v>
      </x:c>
      <x:c r="H86" s="3" t="str">
        <x:v>Clean audience data</x:v>
      </x:c>
      <x:c r="I86" s="14" t="n">
        <x:v>26</x:v>
      </x:c>
      <x:c r="J86" s="14" t="n">
        <x:v>703736</x:v>
      </x:c>
      <x:c r="K86" s="14" t="n">
        <x:v>332836</x:v>
      </x:c>
      <x:c r="L86" s="14" t="n">
        <x:v>40</x:v>
      </x:c>
      <x:c r="M86" s="14" t="n">
        <x:v>100</x:v>
      </x:c>
      <x:c r="N86" s="15" t="n">
        <x:v>3.35</x:v>
      </x:c>
      <x:c r="O86" s="15" t="n">
        <x:v>4.58</x:v>
      </x:c>
      <x:c r="P86" s="15" t="n">
        <x:v>1.28</x:v>
      </x:c>
      <x:c r="Q86" s="3" t="str">
        <x:v>Unclear prompt</x:v>
      </x:c>
    </x:row>
    <x:row r="87" ht="23" customHeight="1">
      <x:c r="A87" s="3" t="str">
        <x:v>W0081</x:v>
      </x:c>
      <x:c r="B87" s="13" t="n">
        <x:v>46274</x:v>
      </x:c>
      <x:c r="C87" s="3" t="str">
        <x:v>Campaign 2</x:v>
      </x:c>
      <x:c r="D87" s="3" t="str">
        <x:v>Marketing Operations</x:v>
      </x:c>
      <x:c r="E87" s="3" t="str">
        <x:v>Morgan Reed</x:v>
      </x:c>
      <x:c r="F87" s="3" t="str">
        <x:v>DataFlow</x:v>
      </x:c>
      <x:c r="G87" s="3" t="str">
        <x:v>Pro</x:v>
      </x:c>
      <x:c r="H87" s="3" t="str">
        <x:v>Prepare launch checklist</x:v>
      </x:c>
      <x:c r="I87" s="14" t="n">
        <x:v>20</x:v>
      </x:c>
      <x:c r="J87" s="14" t="n">
        <x:v>471879</x:v>
      </x:c>
      <x:c r="K87" s="14" t="n">
        <x:v>227069</x:v>
      </x:c>
      <x:c r="L87" s="14" t="n">
        <x:v>40</x:v>
      </x:c>
      <x:c r="M87" s="14" t="n">
        <x:v>100</x:v>
      </x:c>
      <x:c r="N87" s="15" t="n">
        <x:v>4.11</x:v>
      </x:c>
      <x:c r="O87" s="15" t="n">
        <x:v>5.75</x:v>
      </x:c>
      <x:c r="P87" s="15" t="n">
        <x:v>2.22</x:v>
      </x:c>
      <x:c r="Q87" s="3" t="str">
        <x:v>Data problem</x:v>
      </x:c>
    </x:row>
    <x:row r="88" ht="23" customHeight="1">
      <x:c r="A88" s="3" t="str">
        <x:v>W0082</x:v>
      </x:c>
      <x:c r="B88" s="13" t="n">
        <x:v>46283</x:v>
      </x:c>
      <x:c r="C88" s="3" t="str">
        <x:v>Campaign 2</x:v>
      </x:c>
      <x:c r="D88" s="3" t="str">
        <x:v>Analytics</x:v>
      </x:c>
      <x:c r="E88" s="3" t="str">
        <x:v>Quinn Parker</x:v>
      </x:c>
      <x:c r="F88" s="3" t="str">
        <x:v>InsightDesk</x:v>
      </x:c>
      <x:c r="G88" s="3" t="str">
        <x:v>Pro</x:v>
      </x:c>
      <x:c r="H88" s="3" t="str">
        <x:v>Analyze campaign results</x:v>
      </x:c>
      <x:c r="I88" s="14" t="n">
        <x:v>17</x:v>
      </x:c>
      <x:c r="J88" s="14" t="n">
        <x:v>470317</x:v>
      </x:c>
      <x:c r="K88" s="14" t="n">
        <x:v>153135</x:v>
      </x:c>
      <x:c r="L88" s="14" t="n">
        <x:v>40</x:v>
      </x:c>
      <x:c r="M88" s="14" t="n">
        <x:v>100</x:v>
      </x:c>
      <x:c r="N88" s="15" t="n">
        <x:v>4.44</x:v>
      </x:c>
      <x:c r="O88" s="15" t="n">
        <x:v>6.94</x:v>
      </x:c>
      <x:c r="P88" s="15" t="n">
        <x:v>3</x:v>
      </x:c>
      <x:c r="Q88" s="3" t="str">
        <x:v>Data problem</x:v>
      </x:c>
    </x:row>
    <x:row r="89" ht="23" customHeight="1">
      <x:c r="A89" s="3" t="str">
        <x:v>W0083</x:v>
      </x:c>
      <x:c r="B89" s="13" t="n">
        <x:v>46294</x:v>
      </x:c>
      <x:c r="C89" s="3" t="str">
        <x:v>Campaign 2</x:v>
      </x:c>
      <x:c r="D89" s="3" t="str">
        <x:v>Analytics</x:v>
      </x:c>
      <x:c r="E89" s="3" t="str">
        <x:v>Jamie Patel</x:v>
      </x:c>
      <x:c r="F89" s="3" t="str">
        <x:v>InsightDesk</x:v>
      </x:c>
      <x:c r="G89" s="3" t="str">
        <x:v>Lite</x:v>
      </x:c>
      <x:c r="H89" s="3" t="str">
        <x:v>Summarize audience insights</x:v>
      </x:c>
      <x:c r="I89" s="14" t="n">
        <x:v>21</x:v>
      </x:c>
      <x:c r="J89" s="14" t="n">
        <x:v>643979</x:v>
      </x:c>
      <x:c r="K89" s="14" t="n">
        <x:v>118711</x:v>
      </x:c>
      <x:c r="L89" s="14" t="n">
        <x:v>10</x:v>
      </x:c>
      <x:c r="M89" s="14" t="n">
        <x:v>30</x:v>
      </x:c>
      <x:c r="N89" s="15" t="n">
        <x:v>3.87</x:v>
      </x:c>
      <x:c r="O89" s="15" t="n">
        <x:v>6.66</x:v>
      </x:c>
      <x:c r="P89" s="15" t="n">
        <x:v>3.04</x:v>
      </x:c>
      <x:c r="Q89" s="3" t="str">
        <x:v>Brief changed</x:v>
      </x:c>
    </x:row>
    <x:row r="90" ht="23" customHeight="1">
      <x:c r="A90" s="3" t="str">
        <x:v>W0084</x:v>
      </x:c>
      <x:c r="B90" s="13" t="n">
        <x:v>46279</x:v>
      </x:c>
      <x:c r="C90" s="3" t="str">
        <x:v>Campaign 2</x:v>
      </x:c>
      <x:c r="D90" s="3" t="str">
        <x:v>Content</x:v>
      </x:c>
      <x:c r="E90" s="3" t="str">
        <x:v>Avery Morgan</x:v>
      </x:c>
      <x:c r="F90" s="3" t="str">
        <x:v>CopyStudio</x:v>
      </x:c>
      <x:c r="G90" s="3" t="str">
        <x:v>Lite</x:v>
      </x:c>
      <x:c r="H90" s="3" t="str">
        <x:v>Edit landing page</x:v>
      </x:c>
      <x:c r="I90" s="14" t="n">
        <x:v>24</x:v>
      </x:c>
      <x:c r="J90" s="14" t="n">
        <x:v>668726</x:v>
      </x:c>
      <x:c r="K90" s="14" t="n">
        <x:v>182013</x:v>
      </x:c>
      <x:c r="L90" s="14" t="n">
        <x:v>10</x:v>
      </x:c>
      <x:c r="M90" s="14" t="n">
        <x:v>30</x:v>
      </x:c>
      <x:c r="N90" s="15" t="n">
        <x:v>4.43</x:v>
      </x:c>
      <x:c r="O90" s="15" t="n">
        <x:v>6.43</x:v>
      </x:c>
      <x:c r="P90" s="15" t="n">
        <x:v>1.42</x:v>
      </x:c>
      <x:c r="Q90" s="3" t="str">
        <x:v>None</x:v>
      </x:c>
    </x:row>
    <x:row r="91" ht="23" customHeight="1">
      <x:c r="A91" s="3" t="str">
        <x:v>W0085</x:v>
      </x:c>
      <x:c r="B91" s="13" t="n">
        <x:v>46288</x:v>
      </x:c>
      <x:c r="C91" s="3" t="str">
        <x:v>Campaign 2</x:v>
      </x:c>
      <x:c r="D91" s="3" t="str">
        <x:v>Content</x:v>
      </x:c>
      <x:c r="E91" s="3" t="str">
        <x:v>Jordan Ellis</x:v>
      </x:c>
      <x:c r="F91" s="3" t="str">
        <x:v>CopyStudio</x:v>
      </x:c>
      <x:c r="G91" s="3" t="str">
        <x:v>Pro</x:v>
      </x:c>
      <x:c r="H91" s="3" t="str">
        <x:v>Write ad copy</x:v>
      </x:c>
      <x:c r="I91" s="14" t="n">
        <x:v>18</x:v>
      </x:c>
      <x:c r="J91" s="14" t="n">
        <x:v>388503</x:v>
      </x:c>
      <x:c r="K91" s="14" t="n">
        <x:v>124702</x:v>
      </x:c>
      <x:c r="L91" s="14" t="n">
        <x:v>40</x:v>
      </x:c>
      <x:c r="M91" s="14" t="n">
        <x:v>100</x:v>
      </x:c>
      <x:c r="N91" s="15" t="n">
        <x:v>2.32</x:v>
      </x:c>
      <x:c r="O91" s="15" t="n">
        <x:v>4.27</x:v>
      </x:c>
      <x:c r="P91" s="15" t="n">
        <x:v>1.11</x:v>
      </x:c>
      <x:c r="Q91" s="3" t="str">
        <x:v>Brief changed</x:v>
      </x:c>
    </x:row>
    <x:row r="92" ht="23" customHeight="1">
      <x:c r="A92" s="3" t="str">
        <x:v>W0086</x:v>
      </x:c>
      <x:c r="B92" s="13" t="n">
        <x:v>46273</x:v>
      </x:c>
      <x:c r="C92" s="3" t="str">
        <x:v>Campaign 2</x:v>
      </x:c>
      <x:c r="D92" s="3" t="str">
        <x:v>Creative</x:v>
      </x:c>
      <x:c r="E92" s="3" t="str">
        <x:v>Riley Chen</x:v>
      </x:c>
      <x:c r="F92" s="3" t="str">
        <x:v>CampaignChat</x:v>
      </x:c>
      <x:c r="G92" s="3" t="str">
        <x:v>Pro</x:v>
      </x:c>
      <x:c r="H92" s="3" t="str">
        <x:v>Review creative variants</x:v>
      </x:c>
      <x:c r="I92" s="14" t="n">
        <x:v>20</x:v>
      </x:c>
      <x:c r="J92" s="14" t="n">
        <x:v>552607</x:v>
      </x:c>
      <x:c r="K92" s="14" t="n">
        <x:v>169553</x:v>
      </x:c>
      <x:c r="L92" s="14" t="n">
        <x:v>40</x:v>
      </x:c>
      <x:c r="M92" s="14" t="n">
        <x:v>100</x:v>
      </x:c>
      <x:c r="N92" s="15" t="n">
        <x:v>2.33</x:v>
      </x:c>
      <x:c r="O92" s="15" t="n">
        <x:v>2.73</x:v>
      </x:c>
      <x:c r="P92" s="15" t="n">
        <x:v>1.07</x:v>
      </x:c>
      <x:c r="Q92" s="3" t="str">
        <x:v>Unclear prompt</x:v>
      </x:c>
    </x:row>
    <x:row r="93" ht="23" customHeight="1">
      <x:c r="A93" s="3" t="str">
        <x:v>W0087</x:v>
      </x:c>
      <x:c r="B93" s="13" t="n">
        <x:v>46282</x:v>
      </x:c>
      <x:c r="C93" s="3" t="str">
        <x:v>Campaign 2</x:v>
      </x:c>
      <x:c r="D93" s="3" t="str">
        <x:v>  creative </x:v>
      </x:c>
      <x:c r="E93" s="3" t="str">
        <x:v>Taylor Brooks</x:v>
      </x:c>
      <x:c r="F93" s="3" t="str">
        <x:v>CampaignChat</x:v>
      </x:c>
      <x:c r="G93" s="3" t="str">
        <x:v>Pro</x:v>
      </x:c>
      <x:c r="H93" s="3" t="str">
        <x:v>Plan visual narrative</x:v>
      </x:c>
      <x:c r="I93" s="14" t="n">
        <x:v>21</x:v>
      </x:c>
      <x:c r="J93" s="14" t="n">
        <x:v>429570</x:v>
      </x:c>
      <x:c r="K93" s="14" t="n">
        <x:v>246288</x:v>
      </x:c>
      <x:c r="L93" s="14" t="n">
        <x:v>40</x:v>
      </x:c>
      <x:c r="M93" s="14" t="n">
        <x:v>100</x:v>
      </x:c>
      <x:c r="N93" s="15" t="n">
        <x:v>3.71</x:v>
      </x:c>
      <x:c r="O93" s="15" t="n">
        <x:v>5.93</x:v>
      </x:c>
      <x:c r="P93" s="15" t="n">
        <x:v>0.76</x:v>
      </x:c>
      <x:c r="Q93" s="3" t="str">
        <x:v>None</x:v>
      </x:c>
    </x:row>
    <x:row r="94" ht="23" customHeight="1">
      <x:c r="A94" s="3" t="str">
        <x:v>W0088</x:v>
      </x:c>
      <x:c r="B94" s="13" t="n">
        <x:v>46293</x:v>
      </x:c>
      <x:c r="C94" s="3" t="str">
        <x:v>Campaign 2</x:v>
      </x:c>
      <x:c r="D94" s="3" t="str">
        <x:v>Marketing Operations</x:v>
      </x:c>
      <x:c r="E94" s="3" t="str">
        <x:v>Casey Rivera</x:v>
      </x:c>
      <x:c r="F94" s="3" t="str">
        <x:v>DataFlow</x:v>
      </x:c>
      <x:c r="G94" s="3" t="str">
        <x:v>Lite</x:v>
      </x:c>
      <x:c r="H94" s="3" t="str">
        <x:v>Build campaign plan</x:v>
      </x:c>
      <x:c r="I94" s="14" t="n">
        <x:v>27</x:v>
      </x:c>
      <x:c r="J94" s="14" t="n">
        <x:v>789163</x:v>
      </x:c>
      <x:c r="K94" s="14" t="n">
        <x:v>110858</x:v>
      </x:c>
      <x:c r="L94" s="14" t="n">
        <x:v>10</x:v>
      </x:c>
      <x:c r="M94" s="14" t="n">
        <x:v>30</x:v>
      </x:c>
      <x:c r="N94" s="15" t="n">
        <x:v>3.08</x:v>
      </x:c>
      <x:c r="O94" s="15" t="n">
        <x:v>3.79</x:v>
      </x:c>
      <x:c r="P94" s="15" t="n">
        <x:v>0.82</x:v>
      </x:c>
      <x:c r="Q94" s="3" t="str">
        <x:v>Brief changed</x:v>
      </x:c>
    </x:row>
    <x:row r="95" ht="23" customHeight="1">
      <x:c r="A95" s="3" t="str">
        <x:v>W0089</x:v>
      </x:c>
      <x:c r="B95" s="13" t="n">
        <x:v>46276</x:v>
      </x:c>
      <x:c r="C95" s="3" t="str">
        <x:v>Campaign 2</x:v>
      </x:c>
      <x:c r="D95" s="3" t="str">
        <x:v>Marketing Operations</x:v>
      </x:c>
      <x:c r="E95" s="3" t="str">
        <x:v>Morgan Reed</x:v>
      </x:c>
      <x:c r="F95" s="3" t="str">
        <x:v>DataFlow</x:v>
      </x:c>
      <x:c r="G95" s="3" t="str">
        <x:v>Lite</x:v>
      </x:c>
      <x:c r="H95" s="3" t="str">
        <x:v>Clean audience data</x:v>
      </x:c>
      <x:c r="I95" s="14" t="n">
        <x:v>23</x:v>
      </x:c>
      <x:c r="J95" s="14" t="n">
        <x:v>469010</x:v>
      </x:c>
      <x:c r="K95" s="14" t="n">
        <x:v>118818</x:v>
      </x:c>
      <x:c r="L95" s="14" t="n">
        <x:v>10</x:v>
      </x:c>
      <x:c r="M95" s="14" t="n">
        <x:v>30</x:v>
      </x:c>
      <x:c r="N95" s="15" t="n">
        <x:v>3.89</x:v>
      </x:c>
      <x:c r="O95" s="15" t="n">
        <x:v>5.24</x:v>
      </x:c>
      <x:c r="P95" s="15" t="n">
        <x:v>1.76</x:v>
      </x:c>
      <x:c r="Q95" s="3" t="str">
        <x:v>Brief changed</x:v>
      </x:c>
    </x:row>
    <x:row r="96" ht="23" customHeight="1">
      <x:c r="A96" s="3" t="str">
        <x:v>W0090</x:v>
      </x:c>
      <x:c r="B96" s="13" t="n">
        <x:v>46287</x:v>
      </x:c>
      <x:c r="C96" s="3" t="str">
        <x:v>Campaign 2</x:v>
      </x:c>
      <x:c r="D96" s="3" t="str">
        <x:v>Analytics</x:v>
      </x:c>
      <x:c r="E96" s="3" t="str">
        <x:v>Quinn Parker</x:v>
      </x:c>
      <x:c r="F96" s="3" t="str">
        <x:v>InsightDesk</x:v>
      </x:c>
      <x:c r="G96" s="3" t="str">
        <x:v>Pro</x:v>
      </x:c>
      <x:c r="H96" s="3" t="str">
        <x:v>Check measurement plan</x:v>
      </x:c>
      <x:c r="I96" s="14" t="n">
        <x:v>18</x:v>
      </x:c>
      <x:c r="J96" s="14" t="n">
        <x:v>277889</x:v>
      </x:c>
      <x:c r="K96" s="14" t="n">
        <x:v>207693</x:v>
      </x:c>
      <x:c r="L96" s="14" t="n">
        <x:v>40</x:v>
      </x:c>
      <x:c r="M96" s="14" t="n">
        <x:v>100</x:v>
      </x:c>
      <x:c r="N96" s="15" t="n">
        <x:v>4.07</x:v>
      </x:c>
      <x:c r="O96" s="15" t="n">
        <x:v>7.66</x:v>
      </x:c>
      <x:c r="P96" s="15" t="n">
        <x:v>2.66</x:v>
      </x:c>
      <x:c r="Q96" s="3" t="str">
        <x:v>Data problem</x:v>
      </x:c>
    </x:row>
    <x:row r="97" ht="23" customHeight="1">
      <x:c r="A97" s="3" t="str">
        <x:v>W0091</x:v>
      </x:c>
      <x:c r="B97" s="13" t="n">
        <x:v>46269</x:v>
      </x:c>
      <x:c r="C97" s="3" t="str">
        <x:v>Campaign 2</x:v>
      </x:c>
      <x:c r="D97" s="3" t="str">
        <x:v>Analytics</x:v>
      </x:c>
      <x:c r="E97" s="3" t="str">
        <x:v>Jamie Patel</x:v>
      </x:c>
      <x:c r="F97" s="3" t="str">
        <x:v>CopyStudio</x:v>
      </x:c>
      <x:c r="G97" s="3" t="str">
        <x:v>Lite</x:v>
      </x:c>
      <x:c r="H97" s="3" t="str">
        <x:v>Analyze campaign results</x:v>
      </x:c>
      <x:c r="I97" s="14" t="n">
        <x:v>27</x:v>
      </x:c>
      <x:c r="J97" s="14" t="n">
        <x:v>1113358</x:v>
      </x:c>
      <x:c r="K97" s="14" t="n">
        <x:v>236361</x:v>
      </x:c>
      <x:c r="L97" s="14" t="n">
        <x:v>10</x:v>
      </x:c>
      <x:c r="M97" s="14" t="n">
        <x:v>30</x:v>
      </x:c>
      <x:c r="N97" s="15" t="n">
        <x:v>4.18</x:v>
      </x:c>
      <x:c r="O97" s="15" t="n">
        <x:v>6.3</x:v>
      </x:c>
      <x:c r="P97" s="15" t="n">
        <x:v>2.97</x:v>
      </x:c>
      <x:c r="Q97" s="3" t="str">
        <x:v>Data problem</x:v>
      </x:c>
    </x:row>
    <x:row r="98" ht="23" customHeight="1">
      <x:c r="A98" s="3" t="str">
        <x:v>W0092</x:v>
      </x:c>
      <x:c r="B98" s="13" t="n">
        <x:v>46281</x:v>
      </x:c>
      <x:c r="C98" s="3" t="str">
        <x:v>Campaign 2</x:v>
      </x:c>
      <x:c r="D98" s="3" t="str">
        <x:v>Content</x:v>
      </x:c>
      <x:c r="E98" s="3" t="str">
        <x:v>Avery Morgan</x:v>
      </x:c>
      <x:c r="F98" s="3" t="str">
        <x:v>CopyStudio</x:v>
      </x:c>
      <x:c r="G98" s="3" t="str">
        <x:v>Lite</x:v>
      </x:c>
      <x:c r="H98" s="3" t="str">
        <x:v>Draft email sequence</x:v>
      </x:c>
      <x:c r="I98" s="14" t="n">
        <x:v>27</x:v>
      </x:c>
      <x:c r="J98" s="14" t="n">
        <x:v>898728</x:v>
      </x:c>
      <x:c r="K98" s="14" t="n">
        <x:v>243656</x:v>
      </x:c>
      <x:c r="L98" s="14" t="n">
        <x:v>10</x:v>
      </x:c>
      <x:c r="M98" s="14" t="n">
        <x:v>30</x:v>
      </x:c>
      <x:c r="N98" s="15" t="n">
        <x:v>3.2</x:v>
      </x:c>
      <x:c r="O98" s="15" t="n">
        <x:v>3.75</x:v>
      </x:c>
      <x:c r="P98" s="15" t="n">
        <x:v>1.35</x:v>
      </x:c>
      <x:c r="Q98" s="3" t="str">
        <x:v>Brief changed</x:v>
      </x:c>
    </x:row>
    <x:row r="99" ht="23" customHeight="1">
      <x:c r="A99" s="3" t="str">
        <x:v>W0093</x:v>
      </x:c>
      <x:c r="B99" s="13" t="n">
        <x:v>46290</x:v>
      </x:c>
      <x:c r="C99" s="3" t="str">
        <x:v>Campaign 2</x:v>
      </x:c>
      <x:c r="D99" s="3" t="str">
        <x:v>Content</x:v>
      </x:c>
      <x:c r="E99" s="3" t="str">
        <x:v>Jordan Ellis</x:v>
      </x:c>
      <x:c r="F99" s="3" t="str">
        <x:v>CampaignChat</x:v>
      </x:c>
      <x:c r="G99" s="3" t="str">
        <x:v>Lite</x:v>
      </x:c>
      <x:c r="H99" s="3" t="str">
        <x:v>Edit landing page</x:v>
      </x:c>
      <x:c r="I99" s="14" t="n">
        <x:v>22</x:v>
      </x:c>
      <x:c r="J99" s="14" t="n">
        <x:v>511564</x:v>
      </x:c>
      <x:c r="K99" s="14" t="n">
        <x:v>160193</x:v>
      </x:c>
      <x:c r="L99" s="14" t="n">
        <x:v>10</x:v>
      </x:c>
      <x:c r="M99" s="14" t="n">
        <x:v>30</x:v>
      </x:c>
      <x:c r="N99" s="15" t="n">
        <x:v>3.73</x:v>
      </x:c>
      <x:c r="O99" s="15" t="n">
        <x:v>5.46</x:v>
      </x:c>
      <x:c r="P99" s="15" t="n">
        <x:v>1.21</x:v>
      </x:c>
      <x:c r="Q99" s="3" t="str">
        <x:v>Data problem</x:v>
      </x:c>
    </x:row>
    <x:row r="100" ht="23" customHeight="1">
      <x:c r="A100" s="3" t="str">
        <x:v>W0094</x:v>
      </x:c>
      <x:c r="B100" s="13" t="n">
        <x:v>46275</x:v>
      </x:c>
      <x:c r="C100" s="3" t="str">
        <x:v>Campaign 2</x:v>
      </x:c>
      <x:c r="D100" s="3" t="str">
        <x:v>Creative</x:v>
      </x:c>
      <x:c r="E100" s="3" t="str">
        <x:v>Riley Chen</x:v>
      </x:c>
      <x:c r="F100" s="3" t="str">
        <x:v>CopyStudio</x:v>
      </x:c>
      <x:c r="G100" s="3" t="str">
        <x:v>Lite</x:v>
      </x:c>
      <x:c r="H100" s="3" t="str">
        <x:v>Develop concept brief</x:v>
      </x:c>
      <x:c r="I100" s="14" t="n">
        <x:v>26</x:v>
      </x:c>
      <x:c r="J100" s="14" t="n">
        <x:v>1018467</x:v>
      </x:c>
      <x:c r="K100" s="14" t="n">
        <x:v>167942</x:v>
      </x:c>
      <x:c r="L100" s="14" t="n">
        <x:v>10</x:v>
      </x:c>
      <x:c r="M100" s="14" t="n">
        <x:v>30</x:v>
      </x:c>
      <x:c r="N100" s="15" t="n">
        <x:v>3.92</x:v>
      </x:c>
      <x:c r="O100" s="15" t="n">
        <x:v>5.12</x:v>
      </x:c>
      <x:c r="P100" s="15" t="n">
        <x:v>1.06</x:v>
      </x:c>
      <x:c r="Q100" s="3" t="str">
        <x:v>Data problem</x:v>
      </x:c>
    </x:row>
    <x:row r="101" ht="23" customHeight="1">
      <x:c r="A101" s="3" t="str">
        <x:v>W0095</x:v>
      </x:c>
      <x:c r="B101" s="13" t="n">
        <x:v>46286</x:v>
      </x:c>
      <x:c r="C101" s="3" t="str">
        <x:v>Campaign 2</x:v>
      </x:c>
      <x:c r="D101" s="3" t="str">
        <x:v>Creative</x:v>
      </x:c>
      <x:c r="E101" s="3" t="str">
        <x:v>Taylor Brooks</x:v>
      </x:c>
      <x:c r="F101" s="3" t="str">
        <x:v>CampaignChat</x:v>
      </x:c>
      <x:c r="G101" s="3" t="str">
        <x:v>Pro</x:v>
      </x:c>
      <x:c r="H101" s="3" t="str">
        <x:v>Review creative variants</x:v>
      </x:c>
      <x:c r="I101" s="14" t="n">
        <x:v>15</x:v>
      </x:c>
      <x:c r="J101" s="14" t="n">
        <x:v>380397</x:v>
      </x:c>
      <x:c r="K101" s="14" t="n">
        <x:v>112318</x:v>
      </x:c>
      <x:c r="L101" s="14" t="n">
        <x:v>40</x:v>
      </x:c>
      <x:c r="M101" s="14" t="n">
        <x:v>100</x:v>
      </x:c>
      <x:c r="N101" s="15" t="n">
        <x:v>4.43</x:v>
      </x:c>
      <x:c r="O101" s="15" t="n">
        <x:v>6.05</x:v>
      </x:c>
      <x:c r="P101" s="15" t="n">
        <x:v>2</x:v>
      </x:c>
      <x:c r="Q101" s="3" t="str">
        <x:v>Data problem</x:v>
      </x:c>
    </x:row>
    <x:row r="102" ht="23" customHeight="1">
      <x:c r="A102" s="3" t="str">
        <x:v>W0096</x:v>
      </x:c>
      <x:c r="B102" s="13" t="n">
        <x:v>46295</x:v>
      </x:c>
      <x:c r="C102" s="3" t="str">
        <x:v>Campaign 2</x:v>
      </x:c>
      <x:c r="D102" s="3" t="str">
        <x:v>Marketing Operations</x:v>
      </x:c>
      <x:c r="E102" s="3" t="str">
        <x:v>Casey Rivera</x:v>
      </x:c>
      <x:c r="F102" s="3" t="str">
        <x:v>DataFlow</x:v>
      </x:c>
      <x:c r="G102" s="3" t="str">
        <x:v>Pro</x:v>
      </x:c>
      <x:c r="H102" s="3" t="str">
        <x:v>Prepare launch checklist</x:v>
      </x:c>
      <x:c r="I102" s="14" t="n">
        <x:v>14</x:v>
      </x:c>
      <x:c r="J102" s="14" t="n">
        <x:v>232715</x:v>
      </x:c>
      <x:c r="K102" s="14" t="n">
        <x:v>90158</x:v>
      </x:c>
      <x:c r="L102" s="14" t="n">
        <x:v>40</x:v>
      </x:c>
      <x:c r="M102" s="14" t="n">
        <x:v>100</x:v>
      </x:c>
      <x:c r="N102" s="15" t="n">
        <x:v>2.87</x:v>
      </x:c>
      <x:c r="O102" s="15" t="n">
        <x:v>4.05</x:v>
      </x:c>
      <x:c r="P102" s="15" t="n">
        <x:v>1.86</x:v>
      </x:c>
      <x:c r="Q102" s="3" t="str">
        <x:v>Unclear prompt</x:v>
      </x:c>
    </x:row>
    <x:row r="103" ht="23" customHeight="1">
      <x:c r="A103" s="3" t="str">
        <x:v>W0097</x:v>
      </x:c>
      <x:c r="B103" s="13" t="n">
        <x:v>46280</x:v>
      </x:c>
      <x:c r="C103" s="3" t="str">
        <x:v>Campaign 2</x:v>
      </x:c>
      <x:c r="D103" s="3" t="str">
        <x:v>Marketing Operations</x:v>
      </x:c>
      <x:c r="E103" s="3" t="str">
        <x:v>Morgan Reed</x:v>
      </x:c>
      <x:c r="F103" s="3" t="str">
        <x:v>DataFlow</x:v>
      </x:c>
      <x:c r="G103" s="3" t="str">
        <x:v>Pro</x:v>
      </x:c>
      <x:c r="H103" s="3" t="str">
        <x:v>Build campaign plan</x:v>
      </x:c>
      <x:c r="I103" s="14" t="n">
        <x:v>23</x:v>
      </x:c>
      <x:c r="J103" s="14" t="n">
        <x:v>615432</x:v>
      </x:c>
      <x:c r="K103" s="14" t="n">
        <x:v>188923</x:v>
      </x:c>
      <x:c r="L103" s="14" t="n">
        <x:v>40</x:v>
      </x:c>
      <x:c r="M103" s="14" t="n">
        <x:v>100</x:v>
      </x:c>
      <x:c r="N103" s="15" t="n">
        <x:v>2.91</x:v>
      </x:c>
      <x:c r="O103" s="15" t="n">
        <x:v>5.32</x:v>
      </x:c>
      <x:c r="P103" s="15" t="n">
        <x:v>2.14</x:v>
      </x:c>
      <x:c r="Q103" s="3" t="str">
        <x:v>Brief changed</x:v>
      </x:c>
    </x:row>
    <x:row r="104" ht="23" customHeight="1">
      <x:c r="A104" s="3" t="str">
        <x:v>W0098</x:v>
      </x:c>
      <x:c r="B104" s="13" t="n">
        <x:v>46289</x:v>
      </x:c>
      <x:c r="C104" s="3" t="str">
        <x:v>Campaign 2</x:v>
      </x:c>
      <x:c r="D104" s="3" t="str">
        <x:v>Analytics</x:v>
      </x:c>
      <x:c r="E104" s="3" t="str">
        <x:v>Quinn Parker</x:v>
      </x:c>
      <x:c r="F104" s="3" t="str">
        <x:v>InsightDesk</x:v>
      </x:c>
      <x:c r="G104" s="3" t="str">
        <x:v>Pro</x:v>
      </x:c>
      <x:c r="H104" s="3" t="str">
        <x:v>Summarize audience insights</x:v>
      </x:c>
      <x:c r="I104" s="14" t="n">
        <x:v>25</x:v>
      </x:c>
      <x:c r="J104" s="14" t="n">
        <x:v>596256</x:v>
      </x:c>
      <x:c r="K104" s="14" t="n">
        <x:v>190552</x:v>
      </x:c>
      <x:c r="L104" s="14" t="n">
        <x:v>40</x:v>
      </x:c>
      <x:c r="M104" s="14" t="n">
        <x:v>100</x:v>
      </x:c>
      <x:c r="N104" s="15" t="n">
        <x:v>4.12</x:v>
      </x:c>
      <x:c r="O104" s="15" t="n">
        <x:v>6.05</x:v>
      </x:c>
      <x:c r="P104" s="15" t="n">
        <x:v>0.83</x:v>
      </x:c>
      <x:c r="Q104" s="3" t="str">
        <x:v>None</x:v>
      </x:c>
    </x:row>
    <x:row r="105" ht="23" customHeight="1">
      <x:c r="A105" s="3" t="str">
        <x:v>W0099</x:v>
      </x:c>
      <x:c r="B105" s="13" t="n">
        <x:v>46274</x:v>
      </x:c>
      <x:c r="C105" s="3" t="str">
        <x:v>Campaign 2</x:v>
      </x:c>
      <x:c r="D105" s="3" t="str">
        <x:v>Analytics</x:v>
      </x:c>
      <x:c r="E105" s="3" t="str">
        <x:v>Jamie Patel</x:v>
      </x:c>
      <x:c r="F105" s="3" t="str">
        <x:v>InsightDesk</x:v>
      </x:c>
      <x:c r="G105" s="3" t="str">
        <x:v>Lite</x:v>
      </x:c>
      <x:c r="H105" s="3" t="str">
        <x:v>Check measurement plan</x:v>
      </x:c>
      <x:c r="I105" s="14" t="n">
        <x:v>17</x:v>
      </x:c>
      <x:c r="J105" s="14" t="n">
        <x:v>652510</x:v>
      </x:c>
      <x:c r="K105" s="14" t="n">
        <x:v>64368</x:v>
      </x:c>
      <x:c r="L105" s="14" t="n">
        <x:v>10</x:v>
      </x:c>
      <x:c r="M105" s="14" t="n">
        <x:v>30</x:v>
      </x:c>
      <x:c r="N105" s="15" t="n">
        <x:v>2.47</x:v>
      </x:c>
      <x:c r="O105" s="15" t="n">
        <x:v>3.95</x:v>
      </x:c>
      <x:c r="P105" s="15" t="n">
        <x:v>1.48</x:v>
      </x:c>
      <x:c r="Q105" s="3" t="str">
        <x:v>Brief changed</x:v>
      </x:c>
    </x:row>
    <x:row r="106" ht="23" customHeight="1">
      <x:c r="A106" s="3" t="str">
        <x:v>W0100</x:v>
      </x:c>
      <x:c r="B106" s="13" t="n">
        <x:v>46283</x:v>
      </x:c>
      <x:c r="C106" s="3" t="str">
        <x:v>Campaign 2</x:v>
      </x:c>
      <x:c r="D106" s="3" t="str">
        <x:v>Content</x:v>
      </x:c>
      <x:c r="E106" s="3" t="str">
        <x:v>Avery Morgan</x:v>
      </x:c>
      <x:c r="F106" s="3" t="str">
        <x:v>CopyStudio</x:v>
      </x:c>
      <x:c r="G106" s="3" t="str">
        <x:v>Pro</x:v>
      </x:c>
      <x:c r="H106" s="3" t="str">
        <x:v>Write ad copy</x:v>
      </x:c>
      <x:c r="I106" s="14" t="n">
        <x:v>23</x:v>
      </x:c>
      <x:c r="J106" s="14" t="n">
        <x:v>444034</x:v>
      </x:c>
      <x:c r="K106" s="14" t="n">
        <x:v>251276</x:v>
      </x:c>
      <x:c r="L106" s="14" t="n">
        <x:v>40</x:v>
      </x:c>
      <x:c r="M106" s="14" t="n">
        <x:v>100</x:v>
      </x:c>
      <x:c r="N106" s="15" t="n">
        <x:v>4.07</x:v>
      </x:c>
      <x:c r="O106" s="15" t="n">
        <x:v>7.71</x:v>
      </x:c>
      <x:c r="P106" s="15" t="n">
        <x:v>2.55</x:v>
      </x:c>
      <x:c r="Q106" s="3" t="str">
        <x:v>Brief changed</x:v>
      </x:c>
    </x:row>
    <x:row r="107" ht="23" customHeight="1">
      <x:c r="A107" s="3" t="str">
        <x:v>W0101</x:v>
      </x:c>
      <x:c r="B107" s="13" t="n">
        <x:v>46294</x:v>
      </x:c>
      <x:c r="C107" s="3" t="str">
        <x:v>Campaign 2</x:v>
      </x:c>
      <x:c r="D107" s="3" t="str">
        <x:v>Content</x:v>
      </x:c>
      <x:c r="E107" s="3" t="str">
        <x:v>Jordan Ellis</x:v>
      </x:c>
      <x:c r="F107" s="3" t="str">
        <x:v>CopyStudio</x:v>
      </x:c>
      <x:c r="G107" s="3" t="str">
        <x:v>Pro</x:v>
      </x:c>
      <x:c r="H107" s="3" t="str">
        <x:v>Draft email sequence</x:v>
      </x:c>
      <x:c r="I107" s="14" t="n">
        <x:v>23</x:v>
      </x:c>
      <x:c r="J107" s="14" t="n">
        <x:v>606251</x:v>
      </x:c>
      <x:c r="K107" s="14" t="n">
        <x:v>304185</x:v>
      </x:c>
      <x:c r="L107" s="14" t="n">
        <x:v>40</x:v>
      </x:c>
      <x:c r="M107" s="14" t="n">
        <x:v>100</x:v>
      </x:c>
      <x:c r="N107" s="15" t="n">
        <x:v>3.81</x:v>
      </x:c>
      <x:c r="O107" s="15" t="n">
        <x:v>6.97</x:v>
      </x:c>
      <x:c r="P107" s="15" t="n">
        <x:v>1.43</x:v>
      </x:c>
      <x:c r="Q107" s="3" t="str">
        <x:v>Data problem</x:v>
      </x:c>
    </x:row>
    <x:row r="108" ht="23" customHeight="1">
      <x:c r="A108" s="3" t="str">
        <x:v>W0102</x:v>
      </x:c>
      <x:c r="B108" s="13" t="n">
        <x:v>46279</x:v>
      </x:c>
      <x:c r="C108" s="3" t="str">
        <x:v>Campaign 2</x:v>
      </x:c>
      <x:c r="D108" s="3" t="str">
        <x:v>Creative</x:v>
      </x:c>
      <x:c r="E108" s="3" t="str">
        <x:v>Riley Chen</x:v>
      </x:c>
      <x:c r="F108" s="3" t="str">
        <x:v>DataFlow</x:v>
      </x:c>
      <x:c r="G108" s="3" t="str">
        <x:v>Lite</x:v>
      </x:c>
      <x:c r="H108" s="3" t="str">
        <x:v>Plan visual narrative</x:v>
      </x:c>
      <x:c r="I108" s="14" t="n">
        <x:v>18</x:v>
      </x:c>
      <x:c r="J108" s="14" t="n">
        <x:v>701614</x:v>
      </x:c>
      <x:c r="K108" s="14" t="n">
        <x:v>125701</x:v>
      </x:c>
      <x:c r="L108" s="14" t="n">
        <x:v>10</x:v>
      </x:c>
      <x:c r="M108" s="14" t="n">
        <x:v>30</x:v>
      </x:c>
      <x:c r="N108" s="15" t="n">
        <x:v>2.43</x:v>
      </x:c>
      <x:c r="O108" s="15" t="n">
        <x:v>3.25</x:v>
      </x:c>
      <x:c r="P108" s="15" t="n">
        <x:v>1.48</x:v>
      </x:c>
      <x:c r="Q108" s="3" t="str">
        <x:v>Data problem</x:v>
      </x:c>
    </x:row>
    <x:row r="109" ht="23" customHeight="1">
      <x:c r="A109" s="3" t="str">
        <x:v>W0103</x:v>
      </x:c>
      <x:c r="B109" s="13" t="n">
        <x:v>46288</x:v>
      </x:c>
      <x:c r="C109" s="3" t="str">
        <x:v>Campaign 2</x:v>
      </x:c>
      <x:c r="D109" s="3" t="str">
        <x:v>Creative</x:v>
      </x:c>
      <x:c r="E109" s="3" t="str">
        <x:v>Taylor Brooks</x:v>
      </x:c>
      <x:c r="F109" s="3" t="str">
        <x:v>CampaignChat</x:v>
      </x:c>
      <x:c r="G109" s="3" t="str">
        <x:v>Pro</x:v>
      </x:c>
      <x:c r="H109" s="3" t="str">
        <x:v>Develop concept brief</x:v>
      </x:c>
      <x:c r="I109" s="14" t="n">
        <x:v>22</x:v>
      </x:c>
      <x:c r="J109" s="14" t="n">
        <x:v>374138</x:v>
      </x:c>
      <x:c r="K109" s="14" t="n">
        <x:v>262168</x:v>
      </x:c>
      <x:c r="L109" s="14" t="n">
        <x:v>40</x:v>
      </x:c>
      <x:c r="M109" s="14" t="n">
        <x:v>100</x:v>
      </x:c>
      <x:c r="N109" s="15" t="n">
        <x:v>3.62</x:v>
      </x:c>
      <x:c r="O109" s="15" t="n">
        <x:v>4.13</x:v>
      </x:c>
      <x:c r="P109" s="15" t="n">
        <x:v>1.36</x:v>
      </x:c>
      <x:c r="Q109" s="3" t="str">
        <x:v>Brief changed</x:v>
      </x:c>
    </x:row>
    <x:row r="110" ht="23" customHeight="1">
      <x:c r="A110" s="3" t="str">
        <x:v>W0104</x:v>
      </x:c>
      <x:c r="B110" s="13" t="n">
        <x:v>46273</x:v>
      </x:c>
      <x:c r="C110" s="3" t="str">
        <x:v>Campaign 2</x:v>
      </x:c>
      <x:c r="D110" s="3" t="str">
        <x:v>Marketing Operations</x:v>
      </x:c>
      <x:c r="E110" s="3" t="str">
        <x:v>Casey Rivera</x:v>
      </x:c>
      <x:c r="F110" s="3" t="str">
        <x:v>DataFlow</x:v>
      </x:c>
      <x:c r="G110" s="3" t="str">
        <x:v>Lite</x:v>
      </x:c>
      <x:c r="H110" s="3" t="str">
        <x:v>Clean audience data</x:v>
      </x:c>
      <x:c r="I110" s="14" t="n">
        <x:v>19</x:v>
      </x:c>
      <x:c r="J110" s="14" t="n">
        <x:v>576576</x:v>
      </x:c>
      <x:c r="K110" s="14" t="n">
        <x:v>83840</x:v>
      </x:c>
      <x:c r="L110" s="14" t="n">
        <x:v>10</x:v>
      </x:c>
      <x:c r="M110" s="14" t="n">
        <x:v>30</x:v>
      </x:c>
      <x:c r="N110" s="15" t="n">
        <x:v>2.86</x:v>
      </x:c>
      <x:c r="O110" s="15" t="n">
        <x:v>3.43</x:v>
      </x:c>
      <x:c r="P110" s="15" t="n">
        <x:v>0.81</x:v>
      </x:c>
      <x:c r="Q110" s="3" t="str">
        <x:v>Unclear prompt</x:v>
      </x:c>
    </x:row>
    <x:row r="111" ht="23" customHeight="1">
      <x:c r="A111" s="3" t="str">
        <x:v>W0105</x:v>
      </x:c>
      <x:c r="B111" s="13" t="n">
        <x:v>46282</x:v>
      </x:c>
      <x:c r="C111" s="3" t="str">
        <x:v>Campaign 2</x:v>
      </x:c>
      <x:c r="D111" s="3" t="str">
        <x:v>Marketing Operations</x:v>
      </x:c>
      <x:c r="E111" s="3" t="str">
        <x:v>Morgan Reed</x:v>
      </x:c>
      <x:c r="F111" s="3" t="str">
        <x:v>CopyStudio</x:v>
      </x:c>
      <x:c r="G111" s="3" t="str">
        <x:v>Lite</x:v>
      </x:c>
      <x:c r="H111" s="3" t="str">
        <x:v>Prepare launch checklist</x:v>
      </x:c>
      <x:c r="I111" s="14" t="n">
        <x:v>23</x:v>
      </x:c>
      <x:c r="J111" s="14" t="n">
        <x:v>570536</x:v>
      </x:c>
      <x:c r="K111" s="14" t="n">
        <x:v>127572</x:v>
      </x:c>
      <x:c r="L111" s="14" t="n">
        <x:v>10</x:v>
      </x:c>
      <x:c r="M111" s="14" t="n">
        <x:v>30</x:v>
      </x:c>
      <x:c r="N111" s="15" t="n">
        <x:v>3.8</x:v>
      </x:c>
      <x:c r="O111" s="15" t="n">
        <x:v>6.17</x:v>
      </x:c>
      <x:c r="P111" s="15" t="n">
        <x:v>2.54</x:v>
      </x:c>
      <x:c r="Q111" s="3" t="str">
        <x:v>Brief changed</x:v>
      </x:c>
    </x:row>
    <x:row r="112" ht="23" customHeight="1">
      <x:c r="A112" s="3" t="str">
        <x:v>W0106</x:v>
      </x:c>
      <x:c r="B112" s="13" t="n">
        <x:v>46293</x:v>
      </x:c>
      <x:c r="C112" s="3" t="str">
        <x:v>Campaign 2</x:v>
      </x:c>
      <x:c r="D112" s="3" t="str">
        <x:v>Analytics</x:v>
      </x:c>
      <x:c r="E112" s="3" t="str">
        <x:v>Quinn Parker</x:v>
      </x:c>
      <x:c r="F112" s="3" t="str">
        <x:v>InsightDesk</x:v>
      </x:c>
      <x:c r="G112" s="3" t="str">
        <x:v>Lite</x:v>
      </x:c>
      <x:c r="H112" s="3" t="str">
        <x:v>Analyze campaign results</x:v>
      </x:c>
      <x:c r="I112" s="14" t="n">
        <x:v>16</x:v>
      </x:c>
      <x:c r="J112" s="14" t="n">
        <x:v>593589</x:v>
      </x:c>
      <x:c r="K112" s="14" t="n">
        <x:v>138645</x:v>
      </x:c>
      <x:c r="L112" s="14" t="n">
        <x:v>10</x:v>
      </x:c>
      <x:c r="M112" s="14" t="n">
        <x:v>30</x:v>
      </x:c>
      <x:c r="N112" s="15" t="n">
        <x:v>2.4</x:v>
      </x:c>
      <x:c r="O112" s="15" t="n">
        <x:v>3.35</x:v>
      </x:c>
      <x:c r="P112" s="15" t="n">
        <x:v>1.34</x:v>
      </x:c>
      <x:c r="Q112" s="3" t="str">
        <x:v>Brief changed</x:v>
      </x:c>
    </x:row>
    <x:row r="113" ht="23" customHeight="1">
      <x:c r="A113" s="3" t="str">
        <x:v>W0107</x:v>
      </x:c>
      <x:c r="B113" s="13" t="n">
        <x:v>46276</x:v>
      </x:c>
      <x:c r="C113" s="3" t="str">
        <x:v>Campaign 2</x:v>
      </x:c>
      <x:c r="D113" s="3" t="str">
        <x:v>Analytics</x:v>
      </x:c>
      <x:c r="E113" s="3" t="str">
        <x:v>Jamie Patel</x:v>
      </x:c>
      <x:c r="F113" s="3" t="str">
        <x:v>CampaignChat</x:v>
      </x:c>
      <x:c r="G113" s="3" t="str">
        <x:v>Lite</x:v>
      </x:c>
      <x:c r="H113" s="3" t="str">
        <x:v>Summarize audience insights</x:v>
      </x:c>
      <x:c r="I113" s="14" t="n">
        <x:v>16</x:v>
      </x:c>
      <x:c r="J113" s="14" t="n">
        <x:v>612904</x:v>
      </x:c>
      <x:c r="K113" s="14" t="n">
        <x:v>103885</x:v>
      </x:c>
      <x:c r="L113" s="14" t="n">
        <x:v>10</x:v>
      </x:c>
      <x:c r="M113" s="14" t="n">
        <x:v>30</x:v>
      </x:c>
      <x:c r="N113" s="15" t="n">
        <x:v>3.51</x:v>
      </x:c>
      <x:c r="O113" s="15" t="n">
        <x:v>5.32</x:v>
      </x:c>
      <x:c r="P113" s="15" t="n">
        <x:v>1.44</x:v>
      </x:c>
      <x:c r="Q113" s="3" t="str">
        <x:v>Unclear prompt</x:v>
      </x:c>
    </x:row>
    <x:row r="114" ht="23" customHeight="1">
      <x:c r="A114" s="3" t="str">
        <x:v>W0108</x:v>
      </x:c>
      <x:c r="B114" s="13" t="n">
        <x:v>46287</x:v>
      </x:c>
      <x:c r="C114" s="3" t="str">
        <x:v>Campaign 2</x:v>
      </x:c>
      <x:c r="D114" s="3" t="str">
        <x:v>Content</x:v>
      </x:c>
      <x:c r="E114" s="3" t="str">
        <x:v>Avery Morgan</x:v>
      </x:c>
      <x:c r="F114" s="3" t="str">
        <x:v>CopyStudio</x:v>
      </x:c>
      <x:c r="G114" s="3" t="str">
        <x:v>Lite</x:v>
      </x:c>
      <x:c r="H114" s="3" t="str">
        <x:v>Edit landing page</x:v>
      </x:c>
      <x:c r="I114" s="14" t="n">
        <x:v>15</x:v>
      </x:c>
      <x:c r="J114" s="14" t="n">
        <x:v>594805</x:v>
      </x:c>
      <x:c r="K114" s="14" t="n">
        <x:v>110427</x:v>
      </x:c>
      <x:c r="L114" s="14" t="n">
        <x:v>10</x:v>
      </x:c>
      <x:c r="M114" s="14" t="n">
        <x:v>30</x:v>
      </x:c>
      <x:c r="N114" s="15" t="n">
        <x:v>2.29</x:v>
      </x:c>
      <x:c r="O114" s="15" t="n">
        <x:v>4.45</x:v>
      </x:c>
      <x:c r="P114" s="15" t="n">
        <x:v>1.94</x:v>
      </x:c>
      <x:c r="Q114" s="3" t="str">
        <x:v>Brief changed</x:v>
      </x:c>
    </x:row>
    <x:row r="115" ht="23" customHeight="1">
      <x:c r="A115" s="3" t="str">
        <x:v>W0109</x:v>
      </x:c>
      <x:c r="B115" s="13" t="n">
        <x:v>46269</x:v>
      </x:c>
      <x:c r="C115" s="3" t="str">
        <x:v>Campaign 2</x:v>
      </x:c>
      <x:c r="D115" s="3" t="str">
        <x:v>Content</x:v>
      </x:c>
      <x:c r="E115" s="3" t="str">
        <x:v>Jordan Ellis</x:v>
      </x:c>
      <x:c r="F115" s="3" t="str">
        <x:v>CopyStudio</x:v>
      </x:c>
      <x:c r="G115" s="3" t="str">
        <x:v>Pro</x:v>
      </x:c>
      <x:c r="H115" s="3" t="str">
        <x:v>Write ad copy</x:v>
      </x:c>
      <x:c r="I115" s="14" t="n">
        <x:v>19</x:v>
      </x:c>
      <x:c r="J115" s="14" t="n">
        <x:v>523735</x:v>
      </x:c>
      <x:c r="K115" s="14" t="n">
        <x:v>148777</x:v>
      </x:c>
      <x:c r="L115" s="14" t="n">
        <x:v>40</x:v>
      </x:c>
      <x:c r="M115" s="14" t="n">
        <x:v>100</x:v>
      </x:c>
      <x:c r="N115" s="15" t="n">
        <x:v>2.66</x:v>
      </x:c>
      <x:c r="O115" s="15" t="n">
        <x:v>4.6</x:v>
      </x:c>
      <x:c r="P115" s="15" t="n">
        <x:v>1.9</x:v>
      </x:c>
      <x:c r="Q115" s="3" t="str">
        <x:v>Unclear prompt</x:v>
      </x:c>
    </x:row>
    <x:row r="116" ht="23" customHeight="1">
      <x:c r="A116" s="3" t="str">
        <x:v>W0110</x:v>
      </x:c>
      <x:c r="B116" s="13" t="n">
        <x:v>46281</x:v>
      </x:c>
      <x:c r="C116" s="3" t="str">
        <x:v>Campaign 2</x:v>
      </x:c>
      <x:c r="D116" s="3" t="str">
        <x:v>  creative </x:v>
      </x:c>
      <x:c r="E116" s="3" t="str">
        <x:v>Riley Chen</x:v>
      </x:c>
      <x:c r="F116" s="3" t="str">
        <x:v>CampaignChat</x:v>
      </x:c>
      <x:c r="G116" s="3" t="str">
        <x:v>Lite</x:v>
      </x:c>
      <x:c r="H116" s="3" t="str">
        <x:v>Review creative variants</x:v>
      </x:c>
      <x:c r="I116" s="14" t="n">
        <x:v>21</x:v>
      </x:c>
      <x:c r="J116" s="14" t="n">
        <x:v>547961</x:v>
      </x:c>
      <x:c r="K116" s="14" t="n">
        <x:v>161336</x:v>
      </x:c>
      <x:c r="L116" s="14" t="n">
        <x:v>10</x:v>
      </x:c>
      <x:c r="M116" s="14" t="n">
        <x:v>30</x:v>
      </x:c>
      <x:c r="N116" s="15" t="n">
        <x:v>2.81</x:v>
      </x:c>
      <x:c r="O116" s="15" t="n">
        <x:v>3.85</x:v>
      </x:c>
      <x:c r="P116" s="15" t="n">
        <x:v>1.55</x:v>
      </x:c>
      <x:c r="Q116" s="3" t="str">
        <x:v>Brief changed</x:v>
      </x:c>
    </x:row>
    <x:row r="117" ht="23" customHeight="1">
      <x:c r="A117" s="3" t="str">
        <x:v>W0111</x:v>
      </x:c>
      <x:c r="B117" s="13" t="n">
        <x:v>46290</x:v>
      </x:c>
      <x:c r="C117" s="3" t="str">
        <x:v>Campaign 2</x:v>
      </x:c>
      <x:c r="D117" s="3" t="str">
        <x:v>Creative</x:v>
      </x:c>
      <x:c r="E117" s="3" t="str">
        <x:v>Taylor Brooks</x:v>
      </x:c>
      <x:c r="F117" s="3" t="str">
        <x:v>CampaignChat</x:v>
      </x:c>
      <x:c r="G117" s="3" t="str">
        <x:v>Lite</x:v>
      </x:c>
      <x:c r="H117" s="3" t="str">
        <x:v>Plan visual narrative</x:v>
      </x:c>
      <x:c r="I117" s="14" t="n">
        <x:v>25</x:v>
      </x:c>
      <x:c r="J117" s="14" t="n">
        <x:v>953118</x:v>
      </x:c>
      <x:c r="K117" s="14" t="n">
        <x:v>144608</x:v>
      </x:c>
      <x:c r="L117" s="14" t="n">
        <x:v>10</x:v>
      </x:c>
      <x:c r="M117" s="14" t="n">
        <x:v>30</x:v>
      </x:c>
      <x:c r="N117" s="15" t="n">
        <x:v>2.98</x:v>
      </x:c>
      <x:c r="O117" s="15" t="n">
        <x:v>3.51</x:v>
      </x:c>
      <x:c r="P117" s="15" t="n">
        <x:v>0.95</x:v>
      </x:c>
      <x:c r="Q117" s="3" t="str">
        <x:v>Brief changed</x:v>
      </x:c>
    </x:row>
    <x:row r="118" ht="23" customHeight="1">
      <x:c r="A118" s="3" t="str">
        <x:v>W0112</x:v>
      </x:c>
      <x:c r="B118" s="13" t="n">
        <x:v>46275</x:v>
      </x:c>
      <x:c r="C118" s="3" t="str">
        <x:v>Campaign 2</x:v>
      </x:c>
      <x:c r="D118" s="3" t="str">
        <x:v>Marketing Operations</x:v>
      </x:c>
      <x:c r="E118" s="3" t="str">
        <x:v>Casey Rivera</x:v>
      </x:c>
      <x:c r="F118" s="3" t="str">
        <x:v>DataFlow</x:v>
      </x:c>
      <x:c r="G118" s="3" t="str">
        <x:v>Lite</x:v>
      </x:c>
      <x:c r="H118" s="3" t="str">
        <x:v>Build campaign plan</x:v>
      </x:c>
      <x:c r="I118" s="14" t="n">
        <x:v>25</x:v>
      </x:c>
      <x:c r="J118" s="14" t="n">
        <x:v>795470</x:v>
      </x:c>
      <x:c r="K118" s="14" t="n">
        <x:v>213965</x:v>
      </x:c>
      <x:c r="L118" s="14" t="n">
        <x:v>10</x:v>
      </x:c>
      <x:c r="M118" s="14" t="n">
        <x:v>30</x:v>
      </x:c>
      <x:c r="N118" s="15" t="n">
        <x:v>4.36</x:v>
      </x:c>
      <x:c r="O118" s="15" t="n">
        <x:v>5.69</x:v>
      </x:c>
      <x:c r="P118" s="15" t="n">
        <x:v>1.57</x:v>
      </x:c>
      <x:c r="Q118" s="3" t="str">
        <x:v>Brief changed</x:v>
      </x:c>
    </x:row>
    <x:row r="119" ht="23" customHeight="1">
      <x:c r="A119" s="3" t="str">
        <x:v>W0113</x:v>
      </x:c>
      <x:c r="B119" s="13" t="n">
        <x:v>46286</x:v>
      </x:c>
      <x:c r="C119" s="3" t="str">
        <x:v>Campaign 2</x:v>
      </x:c>
      <x:c r="D119" s="3" t="str">
        <x:v>Marketing Operations</x:v>
      </x:c>
      <x:c r="E119" s="3" t="str">
        <x:v>Morgan Reed</x:v>
      </x:c>
      <x:c r="F119" s="3" t="str">
        <x:v>DataFlow</x:v>
      </x:c>
      <x:c r="G119" s="3" t="str">
        <x:v>Pro</x:v>
      </x:c>
      <x:c r="H119" s="3" t="str">
        <x:v>Clean audience data</x:v>
      </x:c>
      <x:c r="I119" s="14" t="n">
        <x:v>19</x:v>
      </x:c>
      <x:c r="J119" s="14" t="n">
        <x:v>365125</x:v>
      </x:c>
      <x:c r="K119" s="14" t="n">
        <x:v>179806</x:v>
      </x:c>
      <x:c r="L119" s="14" t="n">
        <x:v>40</x:v>
      </x:c>
      <x:c r="M119" s="14" t="n">
        <x:v>100</x:v>
      </x:c>
      <x:c r="N119" s="15" t="n">
        <x:v>2.52</x:v>
      </x:c>
      <x:c r="O119" s="15" t="n">
        <x:v>3.3</x:v>
      </x:c>
      <x:c r="P119" s="15" t="n">
        <x:v>1.49</x:v>
      </x:c>
      <x:c r="Q119" s="3" t="str">
        <x:v>Data problem</x:v>
      </x:c>
    </x:row>
    <x:row r="120" ht="23" customHeight="1">
      <x:c r="A120" s="3" t="str">
        <x:v>W0114</x:v>
      </x:c>
      <x:c r="B120" s="13" t="n">
        <x:v>46295</x:v>
      </x:c>
      <x:c r="C120" s="3" t="str">
        <x:v>Campaign 2</x:v>
      </x:c>
      <x:c r="D120" s="3" t="str">
        <x:v>Analytics</x:v>
      </x:c>
      <x:c r="E120" s="3" t="str">
        <x:v>Quinn Parker</x:v>
      </x:c>
      <x:c r="F120" s="3" t="str">
        <x:v>InsightDesk</x:v>
      </x:c>
      <x:c r="G120" s="3" t="str">
        <x:v>Pro</x:v>
      </x:c>
      <x:c r="H120" s="3" t="str">
        <x:v>Check measurement plan</x:v>
      </x:c>
      <x:c r="I120" s="14" t="n">
        <x:v>23</x:v>
      </x:c>
      <x:c r="J120" s="14" t="n">
        <x:v>266151</x:v>
      </x:c>
      <x:c r="K120" s="14" t="n">
        <x:v>252797</x:v>
      </x:c>
      <x:c r="L120" s="14" t="n">
        <x:v>40</x:v>
      </x:c>
      <x:c r="M120" s="14" t="n">
        <x:v>100</x:v>
      </x:c>
      <x:c r="N120" s="15" t="n">
        <x:v>2.82</x:v>
      </x:c>
      <x:c r="O120" s="15" t="n">
        <x:v>3.69</x:v>
      </x:c>
      <x:c r="P120" s="15" t="n">
        <x:v>1.77</x:v>
      </x:c>
      <x:c r="Q120" s="3" t="str">
        <x:v>Brief changed</x:v>
      </x:c>
    </x:row>
    <x:row r="121" ht="23" customHeight="1">
      <x:c r="A121" s="3" t="str">
        <x:v>W0115</x:v>
      </x:c>
      <x:c r="B121" s="13" t="n">
        <x:v>46280</x:v>
      </x:c>
      <x:c r="C121" s="3" t="str">
        <x:v>Campaign 2</x:v>
      </x:c>
      <x:c r="D121" s="3" t="str">
        <x:v>Analytics</x:v>
      </x:c>
      <x:c r="E121" s="3" t="str">
        <x:v>Jamie Patel</x:v>
      </x:c>
      <x:c r="F121" s="3" t="str">
        <x:v>InsightDesk</x:v>
      </x:c>
      <x:c r="G121" s="3" t="str">
        <x:v>Pro</x:v>
      </x:c>
      <x:c r="H121" s="3" t="str">
        <x:v>Analyze campaign results</x:v>
      </x:c>
      <x:c r="I121" s="14" t="n">
        <x:v>18</x:v>
      </x:c>
      <x:c r="J121" s="14" t="n">
        <x:v>277493</x:v>
      </x:c>
      <x:c r="K121" s="14" t="n">
        <x:v>186005</x:v>
      </x:c>
      <x:c r="L121" s="14" t="n">
        <x:v>40</x:v>
      </x:c>
      <x:c r="M121" s="14" t="n">
        <x:v>100</x:v>
      </x:c>
      <x:c r="N121" s="15" t="n">
        <x:v>3.38</x:v>
      </x:c>
      <x:c r="O121" s="15" t="n">
        <x:v>4.5</x:v>
      </x:c>
      <x:c r="P121" s="15" t="n">
        <x:v>1.64</x:v>
      </x:c>
      <x:c r="Q121" s="3" t="str">
        <x:v>Brief changed</x:v>
      </x:c>
    </x:row>
    <x:row r="122" ht="23" customHeight="1">
      <x:c r="A122" s="3" t="str">
        <x:v>W0116</x:v>
      </x:c>
      <x:c r="B122" s="13" t="n">
        <x:v>46289</x:v>
      </x:c>
      <x:c r="C122" s="3" t="str">
        <x:v>Campaign 2</x:v>
      </x:c>
      <x:c r="D122" s="3" t="str">
        <x:v>Content</x:v>
      </x:c>
      <x:c r="E122" s="3" t="str">
        <x:v>Avery Morgan</x:v>
      </x:c>
      <x:c r="F122" s="3" t="str">
        <x:v>CopyStudio</x:v>
      </x:c>
      <x:c r="G122" s="3" t="str">
        <x:v>Pro</x:v>
      </x:c>
      <x:c r="H122" s="3" t="str">
        <x:v>Draft email sequence</x:v>
      </x:c>
      <x:c r="I122" s="14" t="n">
        <x:v>27</x:v>
      </x:c>
      <x:c r="J122" s="14" t="n">
        <x:v>422573</x:v>
      </x:c>
      <x:c r="K122" s="14" t="n">
        <x:v>263824</x:v>
      </x:c>
      <x:c r="L122" s="14" t="n">
        <x:v>40</x:v>
      </x:c>
      <x:c r="M122" s="14" t="n">
        <x:v>100</x:v>
      </x:c>
      <x:c r="N122" s="15" t="n">
        <x:v>2.61</x:v>
      </x:c>
      <x:c r="O122" s="15" t="n">
        <x:v>3.61</x:v>
      </x:c>
      <x:c r="P122" s="15" t="n">
        <x:v>0.89</x:v>
      </x:c>
      <x:c r="Q122" s="3" t="str">
        <x:v>Brief changed</x:v>
      </x:c>
    </x:row>
    <x:row r="123" ht="23" customHeight="1">
      <x:c r="A123" s="3" t="str">
        <x:v>W0117</x:v>
      </x:c>
      <x:c r="B123" s="13" t="n">
        <x:v>46274</x:v>
      </x:c>
      <x:c r="C123" s="3" t="str">
        <x:v>Campaign 2</x:v>
      </x:c>
      <x:c r="D123" s="3" t="str">
        <x:v>Content</x:v>
      </x:c>
      <x:c r="E123" s="3" t="str">
        <x:v>Jordan Ellis</x:v>
      </x:c>
      <x:c r="F123" s="3" t="str">
        <x:v>CopyStudio</x:v>
      </x:c>
      <x:c r="G123" s="3" t="str">
        <x:v>Lite</x:v>
      </x:c>
      <x:c r="H123" s="3" t="str">
        <x:v>Edit landing page</x:v>
      </x:c>
      <x:c r="I123" s="14" t="n">
        <x:v>17</x:v>
      </x:c>
      <x:c r="J123" s="14" t="n">
        <x:v>535782</x:v>
      </x:c>
      <x:c r="K123" s="14" t="n">
        <x:v>65111</x:v>
      </x:c>
      <x:c r="L123" s="14" t="n">
        <x:v>10</x:v>
      </x:c>
      <x:c r="M123" s="14" t="n">
        <x:v>30</x:v>
      </x:c>
      <x:c r="N123" s="15" t="n">
        <x:v>4.29</x:v>
      </x:c>
      <x:c r="O123" s="15" t="n">
        <x:v>7.91</x:v>
      </x:c>
      <x:c r="P123" s="15" t="n">
        <x:v>3.28</x:v>
      </x:c>
      <x:c r="Q123" s="3" t="str">
        <x:v>Brief changed</x:v>
      </x:c>
    </x:row>
    <x:row r="124" ht="23" customHeight="1">
      <x:c r="A124" s="3" t="str">
        <x:v>W0118</x:v>
      </x:c>
      <x:c r="B124" s="13" t="n">
        <x:v>46283</x:v>
      </x:c>
      <x:c r="C124" s="3" t="str">
        <x:v>Campaign 2</x:v>
      </x:c>
      <x:c r="D124" s="3" t="str">
        <x:v>Creative</x:v>
      </x:c>
      <x:c r="E124" s="3" t="str">
        <x:v>Riley Chen</x:v>
      </x:c>
      <x:c r="F124" s="3" t="str">
        <x:v>CampaignChat</x:v>
      </x:c>
      <x:c r="G124" s="3" t="str">
        <x:v>Lite</x:v>
      </x:c>
      <x:c r="H124" s="3" t="str">
        <x:v>Develop concept brief</x:v>
      </x:c>
      <x:c r="I124" s="14" t="n">
        <x:v>15</x:v>
      </x:c>
      <x:c r="J124" s="14" t="n">
        <x:v>293288</x:v>
      </x:c>
      <x:c r="K124" s="14" t="n">
        <x:v>113094</x:v>
      </x:c>
      <x:c r="L124" s="14" t="n">
        <x:v>10</x:v>
      </x:c>
      <x:c r="M124" s="14" t="n">
        <x:v>30</x:v>
      </x:c>
      <x:c r="N124" s="15" t="n">
        <x:v>2.3</x:v>
      </x:c>
      <x:c r="O124" s="15" t="n">
        <x:v>2.79</x:v>
      </x:c>
      <x:c r="P124" s="15" t="n">
        <x:v>0.39</x:v>
      </x:c>
      <x:c r="Q124" s="3" t="str">
        <x:v>None</x:v>
      </x:c>
    </x:row>
    <x:row r="125" ht="23" customHeight="1">
      <x:c r="A125" s="3" t="str">
        <x:v>W0119</x:v>
      </x:c>
      <x:c r="B125" s="13" t="n">
        <x:v>46294</x:v>
      </x:c>
      <x:c r="C125" s="3" t="str">
        <x:v>Campaign 2</x:v>
      </x:c>
      <x:c r="D125" s="3" t="str">
        <x:v>Creative</x:v>
      </x:c>
      <x:c r="E125" s="3" t="str">
        <x:v>Taylor Brooks</x:v>
      </x:c>
      <x:c r="F125" s="3" t="str">
        <x:v>CampaignChat</x:v>
      </x:c>
      <x:c r="G125" s="3" t="str">
        <x:v>Pro</x:v>
      </x:c>
      <x:c r="H125" s="3" t="str">
        <x:v>Review creative variants</x:v>
      </x:c>
      <x:c r="I125" s="14" t="n">
        <x:v>24</x:v>
      </x:c>
      <x:c r="J125" s="14" t="n">
        <x:v>487622</x:v>
      </x:c>
      <x:c r="K125" s="14" t="n">
        <x:v>347989</x:v>
      </x:c>
      <x:c r="L125" s="14" t="n">
        <x:v>40</x:v>
      </x:c>
      <x:c r="M125" s="14" t="n">
        <x:v>100</x:v>
      </x:c>
      <x:c r="N125" s="15" t="n">
        <x:v>3.51</x:v>
      </x:c>
      <x:c r="O125" s="15" t="n">
        <x:v>4.64</x:v>
      </x:c>
      <x:c r="P125" s="15" t="n">
        <x:v>1.07</x:v>
      </x:c>
      <x:c r="Q125" s="3" t="str">
        <x:v>None</x:v>
      </x:c>
    </x:row>
    <x:row r="126" ht="23" customHeight="1">
      <x:c r="A126" s="3" t="str">
        <x:v>W0120</x:v>
      </x:c>
      <x:c r="B126" s="13" t="n">
        <x:v>46279</x:v>
      </x:c>
      <x:c r="C126" s="3" t="str">
        <x:v>Campaign 2</x:v>
      </x:c>
      <x:c r="D126" s="3" t="str">
        <x:v>Marketing Operations</x:v>
      </x:c>
      <x:c r="E126" s="3" t="str">
        <x:v>Casey Rivera</x:v>
      </x:c>
      <x:c r="F126" s="3" t="str">
        <x:v>DataFlow</x:v>
      </x:c>
      <x:c r="G126" s="3" t="str">
        <x:v>Pro</x:v>
      </x:c>
      <x:c r="H126" s="3" t="str">
        <x:v>Prepare launch checklist</x:v>
      </x:c>
      <x:c r="I126" s="14" t="n">
        <x:v>27</x:v>
      </x:c>
      <x:c r="J126" s="14" t="n">
        <x:v>496369</x:v>
      </x:c>
      <x:c r="K126" s="14" t="n">
        <x:v>385435</x:v>
      </x:c>
      <x:c r="L126" s="14" t="n">
        <x:v>40</x:v>
      </x:c>
      <x:c r="M126" s="14" t="n">
        <x:v>100</x:v>
      </x:c>
      <x:c r="N126" s="15" t="n">
        <x:v>4.2</x:v>
      </x:c>
      <x:c r="O126" s="15" t="n">
        <x:v>7.67</x:v>
      </x:c>
      <x:c r="P126" s="15" t="n">
        <x:v>2.04</x:v>
      </x:c>
      <x:c r="Q126" s="3" t="str">
        <x:v>Data problem</x:v>
      </x:c>
    </x:row>
    <x:row r="127" ht="23" customHeight="1">
      <x:c r="A127" s="3" t="str">
        <x:v>W0018</x:v>
      </x:c>
      <x:c r="B127" s="13" t="n">
        <x:v>46290</x:v>
      </x:c>
      <x:c r="C127" s="3" t="str">
        <x:v>Campaign 1</x:v>
      </x:c>
      <x:c r="D127" s="3" t="str">
        <x:v>  content </x:v>
      </x:c>
      <x:c r="E127" s="3" t="str">
        <x:v>Jordan Ellis</x:v>
      </x:c>
      <x:c r="F127" s="3" t="str">
        <x:v>CopyStudio</x:v>
      </x:c>
      <x:c r="G127" s="3" t="str">
        <x:v>Lite</x:v>
      </x:c>
      <x:c r="H127" s="3" t="str">
        <x:v>Edit landing page</x:v>
      </x:c>
      <x:c r="I127" s="14" t="n">
        <x:v>13</x:v>
      </x:c>
      <x:c r="J127" s="14" t="n">
        <x:v>680501</x:v>
      </x:c>
      <x:c r="K127" s="14" t="n">
        <x:v>102212</x:v>
      </x:c>
      <x:c r="L127" s="14" t="n">
        <x:v>10</x:v>
      </x:c>
      <x:c r="M127" s="14" t="n">
        <x:v>30</x:v>
      </x:c>
      <x:c r="N127" s="15" t="n">
        <x:v>5.26</x:v>
      </x:c>
      <x:c r="O127" s="15" t="n">
        <x:v>2.96</x:v>
      </x:c>
      <x:c r="P127" s="15" t="n">
        <x:v>0.45</x:v>
      </x:c>
      <x:c r="Q127" s="3" t="str">
        <x:v>Unclear prompt</x:v>
      </x:c>
    </x:row>
    <x:row r="128" ht="23" customHeight="1">
      <x:c r="A128" s="3" t="str">
        <x:v>W0087</x:v>
      </x:c>
      <x:c r="B128" s="13" t="n">
        <x:v>46282</x:v>
      </x:c>
      <x:c r="C128" s="3" t="str">
        <x:v>Campaign 2</x:v>
      </x:c>
      <x:c r="D128" s="3" t="str">
        <x:v>  creative </x:v>
      </x:c>
      <x:c r="E128" s="3" t="str">
        <x:v>Taylor Brooks</x:v>
      </x:c>
      <x:c r="F128" s="3" t="str">
        <x:v>CampaignChat</x:v>
      </x:c>
      <x:c r="G128" s="3" t="str">
        <x:v>Pro</x:v>
      </x:c>
      <x:c r="H128" s="3" t="str">
        <x:v>Plan visual narrative</x:v>
      </x:c>
      <x:c r="I128" s="14" t="n">
        <x:v>21</x:v>
      </x:c>
      <x:c r="J128" s="14" t="n">
        <x:v>429570</x:v>
      </x:c>
      <x:c r="K128" s="14" t="n">
        <x:v>246288</x:v>
      </x:c>
      <x:c r="L128" s="14" t="n">
        <x:v>40</x:v>
      </x:c>
      <x:c r="M128" s="14" t="n">
        <x:v>100</x:v>
      </x:c>
      <x:c r="N128" s="15" t="n">
        <x:v>3.71</x:v>
      </x:c>
      <x:c r="O128" s="15" t="n">
        <x:v>5.93</x:v>
      </x:c>
      <x:c r="P128" s="15" t="n">
        <x:v>0.76</x:v>
      </x:c>
      <x:c r="Q128" s="3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65d8781ede1b4148"/>
  </x:tableParts>
</x:worksheet>
</file>